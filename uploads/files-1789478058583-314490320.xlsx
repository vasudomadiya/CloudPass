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4a77bd3574a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f1d5d45a9be4230"/>
    <x:sheet xmlns:r="http://schemas.openxmlformats.org/officeDocument/2006/relationships" name="Dubai Leads" sheetId="2" r:id="R1d9731a7cbb9440a"/>
    <x:sheet xmlns:r="http://schemas.openxmlformats.org/officeDocument/2006/relationships" name="1000 Lead Plan" sheetId="3" r:id="R68e75628b84141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2563EB"/>
      </x:patternFill>
    </x:fill>
    <x:fill>
      <x:patternFill patternType="solid">
        <x:fgColor rgb="FF059669"/>
      </x:patternFill>
    </x:fill>
    <x:fill>
      <x:patternFill patternType="solid">
        <x:fgColor rgb="FFE5E7EB"/>
      </x:patternFill>
    </x:fill>
    <x:fill>
      <x:patternFill patternType="solid">
        <x:fgColor rgb="FF7C3AED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7a753874b14cb5" /><Relationship Type="http://schemas.openxmlformats.org/officeDocument/2006/relationships/theme" Target="/xl/theme/theme1.xml" Id="R506f2bdbcb294601" /><Relationship Type="http://schemas.openxmlformats.org/officeDocument/2006/relationships/sharedStrings" Target="/xl/sharedStrings.xml" Id="R2a1d8bbdd2254a7c" /><Relationship Type="http://schemas.openxmlformats.org/officeDocument/2006/relationships/worksheet" Target="/xl/worksheets/sheet1.xml" Id="R4f1d5d45a9be4230" /><Relationship Type="http://schemas.openxmlformats.org/officeDocument/2006/relationships/worksheet" Target="/xl/worksheets/sheet2.xml" Id="R1d9731a7cbb9440a" /><Relationship Type="http://schemas.openxmlformats.org/officeDocument/2006/relationships/worksheet" Target="/xl/worksheets/sheet3.xml" Id="R68e75628b841416f" /></Relationships>
</file>

<file path=xl/tables/table1.xml><?xml version="1.0" encoding="utf-8"?>
<x:table xmlns:x="http://schemas.openxmlformats.org/spreadsheetml/2006/main" id="1" name="DubaiProspectsTable" displayName="DubaiProspectsTable" ref="A1:M101" headerRowCount="1" totalsRowCount="0" totalsRowShown="0">
  <x:tableColumns count="13">
    <x:tableColumn id="1" name="Company Name"/>
    <x:tableColumn id="2" name="Category"/>
    <x:tableColumn id="3" name="City"/>
    <x:tableColumn id="4" name="Area"/>
    <x:tableColumn id="5" name="Business Phone"/>
    <x:tableColumn id="6" name="Business Email"/>
    <x:tableColumn id="7" name="Website"/>
    <x:tableColumn id="8" name="Source URL"/>
    <x:tableColumn id="9" name="Lead Score"/>
    <x:tableColumn id="10" name="Priority"/>
    <x:tableColumn id="11" name="Potential Service"/>
    <x:tableColumn id="12" name="Outreach Status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e26f2e6a6648aa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4" max="4" width="24" hidden="0" customWidth="1"/>
    <x:col min="5" max="5" width="34" hidden="0" customWidth="1"/>
  </x:cols>
  <x:sheetData>
    <x:row r="1">
      <x:c r="A1" s="5" t="str">
        <x:v>A2Z Clicks Digital — Dubai B2B Prospect Database</x:v>
      </x:c>
    </x:row>
    <x:row r="3">
      <x:c r="A3" s="12" t="str">
        <x:v>Metric</x:v>
      </x:c>
      <x:c r="B3" s="12" t="str">
        <x:v>Value</x:v>
      </x:c>
      <x:c r="D3" s="19" t="str">
        <x:v>Lead-quality metric</x:v>
      </x:c>
      <x:c r="E3" s="19" t="str">
        <x:v>Rule</x:v>
      </x:c>
    </x:row>
    <x:row r="4">
      <x:c r="A4" s="16" t="str">
        <x:v>Live-sourced leads in this workbook</x:v>
      </x:c>
      <x:c r="B4" t="n">
        <x:v>100</x:v>
      </x:c>
      <x:c r="D4" t="str">
        <x:v>Lead Score</x:v>
      </x:c>
      <x:c r="E4" t="str">
        <x:v>Phone + Email + Website + Area</x:v>
      </x:c>
    </x:row>
    <x:row r="5">
      <x:c r="A5" s="16" t="str">
        <x:v>Travel &amp; Tourism</x:v>
      </x:c>
      <x:c r="B5" t="n">
        <x:f>COUNTIF('Dubai Leads'!B:B,"Travel &amp; Tourism")</x:f>
        <x:v>40</x:v>
      </x:c>
      <x:c r="D5" t="str">
        <x:v>Hot</x:v>
      </x:c>
      <x:c r="E5" t="str">
        <x:v>75+ (BDE first pass)</x:v>
      </x:c>
    </x:row>
    <x:row r="6">
      <x:c r="A6" s="16" t="str">
        <x:v>Healthcare / Clinic</x:v>
      </x:c>
      <x:c r="B6" t="n">
        <x:f>COUNTIF('Dubai Leads'!B:B,"Healthcare / Clinic")</x:f>
        <x:v>20</x:v>
      </x:c>
      <x:c r="D6" t="str">
        <x:v>Warm</x:v>
      </x:c>
      <x:c r="E6" t="str">
        <x:v>50–74</x:v>
      </x:c>
    </x:row>
    <x:row r="7">
      <x:c r="A7" s="16" t="str">
        <x:v>Hotel / Resort</x:v>
      </x:c>
      <x:c r="B7" t="n">
        <x:f>COUNTIF('Dubai Leads'!B:B,"Hotel / Resort")</x:f>
        <x:v>20</x:v>
      </x:c>
      <x:c r="D7" t="str">
        <x:v>Cold</x:v>
      </x:c>
      <x:c r="E7" t="str">
        <x:v>&lt;50</x:v>
      </x:c>
    </x:row>
    <x:row r="8">
      <x:c r="A8" s="16" t="str">
        <x:v>Real Estate</x:v>
      </x:c>
      <x:c r="B8" t="n">
        <x:f>COUNTIF('Dubai Leads'!B:B,"Real Estate")</x:f>
        <x:v>20</x:v>
      </x:c>
    </x:row>
    <x:row r="11">
      <x:c r="A11" s="23" t="str">
        <x:v>Sourcing note</x:v>
      </x:c>
    </x:row>
    <x:row r="12">
      <x:c r="A12" s="26" t="str">
        <x:v>100 public Dubai business prospects are included. They are company-level leads, not verified decision-maker contacts. Emails are blank unless the public source exposed one in the collected records. A true Apollo-style 1,000-contact list with named decision-makers and verified emails requires an additional enrichment/data-provider step.</x:v>
      </x:c>
    </x:row>
  </x:sheetData>
  <x:mergeCells>
    <x:mergeCell ref="A1:H1"/>
    <x:mergeCell ref="A11:H11"/>
    <x:mergeCell ref="A12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4" hidden="0" customWidth="1"/>
    <x:col min="5" max="5" width="20" hidden="0" customWidth="1"/>
    <x:col min="6" max="6" width="28" hidden="0" customWidth="1"/>
    <x:col min="7" max="7" width="32" hidden="0" customWidth="1"/>
    <x:col min="8" max="8" width="46" hidden="0" customWidth="1"/>
    <x:col min="9" max="9" width="12" hidden="0" customWidth="1"/>
    <x:col min="10" max="10" width="12" hidden="0" customWidth="1"/>
    <x:col min="11" max="11" width="44" hidden="0" customWidth="1"/>
    <x:col min="12" max="12" width="18" hidden="0" customWidth="1"/>
    <x:col min="13" max="13" width="40" hidden="0" customWidth="1"/>
  </x:cols>
  <x:sheetData>
    <x:row r="1">
      <x:c r="A1" s="31" t="str">
        <x:v>Company Name</x:v>
      </x:c>
      <x:c r="B1" s="31" t="str">
        <x:v>Category</x:v>
      </x:c>
      <x:c r="C1" s="31" t="str">
        <x:v>City</x:v>
      </x:c>
      <x:c r="D1" s="31" t="str">
        <x:v>Area</x:v>
      </x:c>
      <x:c r="E1" s="31" t="str">
        <x:v>Business Phone</x:v>
      </x:c>
      <x:c r="F1" s="31" t="str">
        <x:v>Business Email</x:v>
      </x:c>
      <x:c r="G1" s="31" t="str">
        <x:v>Website</x:v>
      </x:c>
      <x:c r="H1" s="31" t="str">
        <x:v>Source URL</x:v>
      </x:c>
      <x:c r="I1" s="31" t="str">
        <x:v>Lead Score</x:v>
      </x:c>
      <x:c r="J1" s="31" t="str">
        <x:v>Priority</x:v>
      </x:c>
      <x:c r="K1" s="31" t="str">
        <x:v>Potential Service</x:v>
      </x:c>
      <x:c r="L1" s="31" t="str">
        <x:v>Outreach Status</x:v>
      </x:c>
      <x:c r="M1" s="31" t="str">
        <x:v>Notes</x:v>
      </x:c>
    </x:row>
    <x:row r="2">
      <x:c r="A2" s="26" t="str">
        <x:v>24 TIME TRAVEL &amp; TOURISM</x:v>
      </x:c>
      <x:c r="B2" s="26" t="str">
        <x:v>Travel &amp; Tourism</x:v>
      </x:c>
      <x:c r="C2" s="26" t="str">
        <x:v>Dubai</x:v>
      </x:c>
      <x:c r="D2" s="26" t="str"/>
      <x:c r="E2" s="26" t="str">
        <x:v>+97142945115</x:v>
      </x:c>
      <x:c r="F2" s="26" t="str"/>
      <x:c r="G2" s="26" t="str"/>
      <x:c r="H2" s="26" t="str">
        <x:v>https://dcciinfo.com/uae/dubai/tour-and-travel-agency/11222</x:v>
      </x:c>
      <x:c r="I2" s="26" t="n">
        <x:f>IF(E2&lt;&gt;"",35,0)+IF(F2&lt;&gt;"",25,0)+IF(G2&lt;&gt;"",20,0)+IF(D2&lt;&gt;"",10,0)+10</x:f>
        <x:v>45</x:v>
      </x:c>
      <x:c r="J2" s="26" t="str">
        <x:f>IF(I2&gt;=75,"Hot",IF(I2&gt;=50,"Warm","Cold"))</x:f>
        <x:v>Cold</x:v>
      </x:c>
      <x:c r="K2" s="26" t="str">
        <x:f>IF(B2="Travel &amp; Tourism","Social Media + Reels + Lead Generation",IF(B2="Hotel / Resort","Social Media + Reels + Ads",IF(B2="Healthcare / Clinic","Social Media + Branding + Lead Generation","Social Media + Reels + Lead Generation + Website")))</x:f>
        <x:v>Social Media + Reels + Lead Generation</x:v>
      </x:c>
      <x:c r="L2" s="26" t="str">
        <x:v>Not Contacted</x:v>
      </x:c>
      <x:c r="M2" s="26" t="str">
        <x:v>Public business listing; verify before outreach.</x:v>
      </x:c>
    </x:row>
    <x:row r="3">
      <x:c r="A3" s="26" t="str">
        <x:v>A J S TOURISM L.L.C</x:v>
      </x:c>
      <x:c r="B3" s="26" t="str">
        <x:v>Travel &amp; Tourism</x:v>
      </x:c>
      <x:c r="C3" s="26" t="str">
        <x:v>Dubai</x:v>
      </x:c>
      <x:c r="D3" s="26" t="str"/>
      <x:c r="E3" s="26" t="str">
        <x:v>+97142292598</x:v>
      </x:c>
      <x:c r="F3" s="26" t="str"/>
      <x:c r="G3" s="26" t="str"/>
      <x:c r="H3" s="26" t="str">
        <x:v>https://dcciinfo.com/uae/dubai/tour-and-travel-agency/11222</x:v>
      </x:c>
      <x:c r="I3" s="26" t="n">
        <x:f>IF(E3&lt;&gt;"",35,0)+IF(F3&lt;&gt;"",25,0)+IF(G3&lt;&gt;"",20,0)+IF(D3&lt;&gt;"",10,0)+10</x:f>
        <x:v>45</x:v>
      </x:c>
      <x:c r="J3" s="26" t="str">
        <x:f>IF(I3&gt;=75,"Hot",IF(I3&gt;=50,"Warm","Cold"))</x:f>
        <x:v>Cold</x:v>
      </x:c>
      <x:c r="K3" s="26" t="str">
        <x:f>IF(B3="Travel &amp; Tourism","Social Media + Reels + Lead Generation",IF(B3="Hotel / Resort","Social Media + Reels + Ads",IF(B3="Healthcare / Clinic","Social Media + Branding + Lead Generation","Social Media + Reels + Lead Generation + Website")))</x:f>
        <x:v>Social Media + Reels + Lead Generation</x:v>
      </x:c>
      <x:c r="L3" s="26" t="str">
        <x:v>Not Contacted</x:v>
      </x:c>
      <x:c r="M3" s="26" t="str">
        <x:v>Public business listing; verify before outreach.</x:v>
      </x:c>
    </x:row>
    <x:row r="4">
      <x:c r="A4" s="26" t="str">
        <x:v>A M R TRAVEL &amp; TOURISM L.L.C</x:v>
      </x:c>
      <x:c r="B4" s="26" t="str">
        <x:v>Travel &amp; Tourism</x:v>
      </x:c>
      <x:c r="C4" s="26" t="str">
        <x:v>Dubai</x:v>
      </x:c>
      <x:c r="D4" s="26" t="str"/>
      <x:c r="E4" s="26" t="str">
        <x:v>+97142358998</x:v>
      </x:c>
      <x:c r="F4" s="26" t="str"/>
      <x:c r="G4" s="26" t="str"/>
      <x:c r="H4" s="26" t="str">
        <x:v>https://dcciinfo.com/uae/dubai/tour-and-travel-agency/11222</x:v>
      </x:c>
      <x:c r="I4" s="26" t="n">
        <x:f>IF(E4&lt;&gt;"",35,0)+IF(F4&lt;&gt;"",25,0)+IF(G4&lt;&gt;"",20,0)+IF(D4&lt;&gt;"",10,0)+10</x:f>
        <x:v>45</x:v>
      </x:c>
      <x:c r="J4" s="26" t="str">
        <x:f>IF(I4&gt;=75,"Hot",IF(I4&gt;=50,"Warm","Cold"))</x:f>
        <x:v>Cold</x:v>
      </x:c>
      <x:c r="K4" s="26" t="str">
        <x:f>IF(B4="Travel &amp; Tourism","Social Media + Reels + Lead Generation",IF(B4="Hotel / Resort","Social Media + Reels + Ads",IF(B4="Healthcare / Clinic","Social Media + Branding + Lead Generation","Social Media + Reels + Lead Generation + Website")))</x:f>
        <x:v>Social Media + Reels + Lead Generation</x:v>
      </x:c>
      <x:c r="L4" s="26" t="str">
        <x:v>Not Contacted</x:v>
      </x:c>
      <x:c r="M4" s="26" t="str">
        <x:v>Public business listing; verify before outreach.</x:v>
      </x:c>
    </x:row>
    <x:row r="5">
      <x:c r="A5" s="26" t="str">
        <x:v>A T P I TRAVEL L.L.C</x:v>
      </x:c>
      <x:c r="B5" s="26" t="str">
        <x:v>Travel &amp; Tourism</x:v>
      </x:c>
      <x:c r="C5" s="26" t="str">
        <x:v>Dubai</x:v>
      </x:c>
      <x:c r="D5" s="26" t="str"/>
      <x:c r="E5" s="26" t="str">
        <x:v>+97143515183</x:v>
      </x:c>
      <x:c r="F5" s="26" t="str"/>
      <x:c r="G5" s="26" t="str"/>
      <x:c r="H5" s="26" t="str">
        <x:v>https://dcciinfo.com/uae/dubai/tour-and-travel-agency/11222</x:v>
      </x:c>
      <x:c r="I5" s="26" t="n">
        <x:f>IF(E5&lt;&gt;"",35,0)+IF(F5&lt;&gt;"",25,0)+IF(G5&lt;&gt;"",20,0)+IF(D5&lt;&gt;"",10,0)+10</x:f>
        <x:v>45</x:v>
      </x:c>
      <x:c r="J5" s="26" t="str">
        <x:f>IF(I5&gt;=75,"Hot",IF(I5&gt;=50,"Warm","Cold"))</x:f>
        <x:v>Cold</x:v>
      </x:c>
      <x:c r="K5" s="26" t="str">
        <x:f>IF(B5="Travel &amp; Tourism","Social Media + Reels + Lead Generation",IF(B5="Hotel / Resort","Social Media + Reels + Ads",IF(B5="Healthcare / Clinic","Social Media + Branding + Lead Generation","Social Media + Reels + Lead Generation + Website")))</x:f>
        <x:v>Social Media + Reels + Lead Generation</x:v>
      </x:c>
      <x:c r="L5" s="26" t="str">
        <x:v>Not Contacted</x:v>
      </x:c>
      <x:c r="M5" s="26" t="str">
        <x:v>Public business listing; verify before outreach.</x:v>
      </x:c>
    </x:row>
    <x:row r="6">
      <x:c r="A6" s="26" t="str">
        <x:v>AAJEL TOURISM &amp; TRAVELS L.L.C</x:v>
      </x:c>
      <x:c r="B6" s="26" t="str">
        <x:v>Travel &amp; Tourism</x:v>
      </x:c>
      <x:c r="C6" s="26" t="str">
        <x:v>Dubai</x:v>
      </x:c>
      <x:c r="D6" s="26" t="str"/>
      <x:c r="E6" s="26" t="str">
        <x:v>+97142568827</x:v>
      </x:c>
      <x:c r="F6" s="26" t="str"/>
      <x:c r="G6" s="26" t="str"/>
      <x:c r="H6" s="26" t="str">
        <x:v>https://dcciinfo.com/uae/dubai/tour-and-travel-agency/11222</x:v>
      </x:c>
      <x:c r="I6" s="26" t="n">
        <x:f>IF(E6&lt;&gt;"",35,0)+IF(F6&lt;&gt;"",25,0)+IF(G6&lt;&gt;"",20,0)+IF(D6&lt;&gt;"",10,0)+10</x:f>
        <x:v>45</x:v>
      </x:c>
      <x:c r="J6" s="26" t="str">
        <x:f>IF(I6&gt;=75,"Hot",IF(I6&gt;=50,"Warm","Cold"))</x:f>
        <x:v>Cold</x:v>
      </x:c>
      <x:c r="K6" s="26" t="str">
        <x:f>IF(B6="Travel &amp; Tourism","Social Media + Reels + Lead Generation",IF(B6="Hotel / Resort","Social Media + Reels + Ads",IF(B6="Healthcare / Clinic","Social Media + Branding + Lead Generation","Social Media + Reels + Lead Generation + Website")))</x:f>
        <x:v>Social Media + Reels + Lead Generation</x:v>
      </x:c>
      <x:c r="L6" s="26" t="str">
        <x:v>Not Contacted</x:v>
      </x:c>
      <x:c r="M6" s="26" t="str">
        <x:v>Public business listing; verify before outreach.</x:v>
      </x:c>
    </x:row>
    <x:row r="7">
      <x:c r="A7" s="26" t="str">
        <x:v>ABNAA AL SUWAIDI TRAVEL</x:v>
      </x:c>
      <x:c r="B7" s="26" t="str">
        <x:v>Travel &amp; Tourism</x:v>
      </x:c>
      <x:c r="C7" s="26" t="str">
        <x:v>Dubai</x:v>
      </x:c>
      <x:c r="D7" s="26" t="str"/>
      <x:c r="E7" s="26" t="str">
        <x:v>+97142514100</x:v>
      </x:c>
      <x:c r="F7" s="26" t="str"/>
      <x:c r="G7" s="26" t="str"/>
      <x:c r="H7" s="26" t="str">
        <x:v>https://dcciinfo.com/uae/dubai/tour-and-travel-agency/11222</x:v>
      </x:c>
      <x:c r="I7" s="26" t="n">
        <x:f>IF(E7&lt;&gt;"",35,0)+IF(F7&lt;&gt;"",25,0)+IF(G7&lt;&gt;"",20,0)+IF(D7&lt;&gt;"",10,0)+10</x:f>
        <x:v>45</x:v>
      </x:c>
      <x:c r="J7" s="26" t="str">
        <x:f>IF(I7&gt;=75,"Hot",IF(I7&gt;=50,"Warm","Cold"))</x:f>
        <x:v>Cold</x:v>
      </x:c>
      <x:c r="K7" s="26" t="str">
        <x:f>IF(B7="Travel &amp; Tourism","Social Media + Reels + Lead Generation",IF(B7="Hotel / Resort","Social Media + Reels + Ads",IF(B7="Healthcare / Clinic","Social Media + Branding + Lead Generation","Social Media + Reels + Lead Generation + Website")))</x:f>
        <x:v>Social Media + Reels + Lead Generation</x:v>
      </x:c>
      <x:c r="L7" s="26" t="str">
        <x:v>Not Contacted</x:v>
      </x:c>
      <x:c r="M7" s="26" t="str">
        <x:v>Public business listing; verify before outreach.</x:v>
      </x:c>
    </x:row>
    <x:row r="8">
      <x:c r="A8" s="26" t="str">
        <x:v>ACROSS BORDERS TRAVEL L.L.C</x:v>
      </x:c>
      <x:c r="B8" s="26" t="str">
        <x:v>Travel &amp; Tourism</x:v>
      </x:c>
      <x:c r="C8" s="26" t="str">
        <x:v>Dubai</x:v>
      </x:c>
      <x:c r="D8" s="26" t="str"/>
      <x:c r="E8" s="26" t="str">
        <x:v>+97144534287</x:v>
      </x:c>
      <x:c r="F8" s="26" t="str"/>
      <x:c r="G8" s="26" t="str"/>
      <x:c r="H8" s="26" t="str">
        <x:v>https://dcciinfo.com/uae/dubai/tour-and-travel-agency/11222</x:v>
      </x:c>
      <x:c r="I8" s="26" t="n">
        <x:f>IF(E8&lt;&gt;"",35,0)+IF(F8&lt;&gt;"",25,0)+IF(G8&lt;&gt;"",20,0)+IF(D8&lt;&gt;"",10,0)+10</x:f>
        <x:v>45</x:v>
      </x:c>
      <x:c r="J8" s="26" t="str">
        <x:f>IF(I8&gt;=75,"Hot",IF(I8&gt;=50,"Warm","Cold"))</x:f>
        <x:v>Cold</x:v>
      </x:c>
      <x:c r="K8" s="26" t="str">
        <x:f>IF(B8="Travel &amp; Tourism","Social Media + Reels + Lead Generation",IF(B8="Hotel / Resort","Social Media + Reels + Ads",IF(B8="Healthcare / Clinic","Social Media + Branding + Lead Generation","Social Media + Reels + Lead Generation + Website")))</x:f>
        <x:v>Social Media + Reels + Lead Generation</x:v>
      </x:c>
      <x:c r="L8" s="26" t="str">
        <x:v>Not Contacted</x:v>
      </x:c>
      <x:c r="M8" s="26" t="str">
        <x:v>Public business listing; verify before outreach.</x:v>
      </x:c>
    </x:row>
    <x:row r="9">
      <x:c r="A9" s="26" t="str">
        <x:v>AIR DEEPAK TOURS AND TRAVELS (LLC)</x:v>
      </x:c>
      <x:c r="B9" s="26" t="str">
        <x:v>Travel &amp; Tourism</x:v>
      </x:c>
      <x:c r="C9" s="26" t="str">
        <x:v>Dubai</x:v>
      </x:c>
      <x:c r="D9" s="26" t="str"/>
      <x:c r="E9" s="26" t="str">
        <x:v>+97143531510</x:v>
      </x:c>
      <x:c r="F9" s="26" t="str"/>
      <x:c r="G9" s="26" t="str"/>
      <x:c r="H9" s="26" t="str">
        <x:v>https://dcciinfo.com/uae/dubai/tour-and-travel-agency/11222</x:v>
      </x:c>
      <x:c r="I9" s="26" t="n">
        <x:f>IF(E9&lt;&gt;"",35,0)+IF(F9&lt;&gt;"",25,0)+IF(G9&lt;&gt;"",20,0)+IF(D9&lt;&gt;"",10,0)+10</x:f>
        <x:v>45</x:v>
      </x:c>
      <x:c r="J9" s="26" t="str">
        <x:f>IF(I9&gt;=75,"Hot",IF(I9&gt;=50,"Warm","Cold"))</x:f>
        <x:v>Cold</x:v>
      </x:c>
      <x:c r="K9" s="26" t="str">
        <x:f>IF(B9="Travel &amp; Tourism","Social Media + Reels + Lead Generation",IF(B9="Hotel / Resort","Social Media + Reels + Ads",IF(B9="Healthcare / Clinic","Social Media + Branding + Lead Generation","Social Media + Reels + Lead Generation + Website")))</x:f>
        <x:v>Social Media + Reels + Lead Generation</x:v>
      </x:c>
      <x:c r="L9" s="26" t="str">
        <x:v>Not Contacted</x:v>
      </x:c>
      <x:c r="M9" s="26" t="str">
        <x:v>Public business listing; verify before outreach.</x:v>
      </x:c>
    </x:row>
    <x:row r="10">
      <x:c r="A10" s="26" t="str">
        <x:v>AIRGLOW TRAVEL &amp; TOURISM L.L.C</x:v>
      </x:c>
      <x:c r="B10" s="26" t="str">
        <x:v>Travel &amp; Tourism</x:v>
      </x:c>
      <x:c r="C10" s="26" t="str">
        <x:v>Dubai</x:v>
      </x:c>
      <x:c r="D10" s="26" t="str"/>
      <x:c r="E10" s="26" t="str">
        <x:v>+97142522169</x:v>
      </x:c>
      <x:c r="F10" s="26" t="str"/>
      <x:c r="G10" s="26" t="str"/>
      <x:c r="H10" s="26" t="str">
        <x:v>https://dcciinfo.com/uae/dubai/tour-and-travel-agency/11222</x:v>
      </x:c>
      <x:c r="I10" s="26" t="n">
        <x:f>IF(E10&lt;&gt;"",35,0)+IF(F10&lt;&gt;"",25,0)+IF(G10&lt;&gt;"",20,0)+IF(D10&lt;&gt;"",10,0)+10</x:f>
        <x:v>45</x:v>
      </x:c>
      <x:c r="J10" s="26" t="str">
        <x:f>IF(I10&gt;=75,"Hot",IF(I10&gt;=50,"Warm","Cold"))</x:f>
        <x:v>Cold</x:v>
      </x:c>
      <x:c r="K10" s="26" t="str">
        <x:f>IF(B10="Travel &amp; Tourism","Social Media + Reels + Lead Generation",IF(B10="Hotel / Resort","Social Media + Reels + Ads",IF(B10="Healthcare / Clinic","Social Media + Branding + Lead Generation","Social Media + Reels + Lead Generation + Website")))</x:f>
        <x:v>Social Media + Reels + Lead Generation</x:v>
      </x:c>
      <x:c r="L10" s="26" t="str">
        <x:v>Not Contacted</x:v>
      </x:c>
      <x:c r="M10" s="26" t="str">
        <x:v>Public business listing; verify before outreach.</x:v>
      </x:c>
    </x:row>
    <x:row r="11">
      <x:c r="A11" s="26" t="str">
        <x:v>AJMAN NATIONAL TRAVEL AGENCY - DUBAI BRANCH</x:v>
      </x:c>
      <x:c r="B11" s="26" t="str">
        <x:v>Travel &amp; Tourism</x:v>
      </x:c>
      <x:c r="C11" s="26" t="str">
        <x:v>Dubai</x:v>
      </x:c>
      <x:c r="D11" s="26" t="str"/>
      <x:c r="E11" s="26" t="str">
        <x:v>+97142828291</x:v>
      </x:c>
      <x:c r="F11" s="26" t="str"/>
      <x:c r="G11" s="26" t="str"/>
      <x:c r="H11" s="26" t="str">
        <x:v>https://dcciinfo.com/uae/dubai/tour-and-travel-agency/11222</x:v>
      </x:c>
      <x:c r="I11" s="26" t="n">
        <x:f>IF(E11&lt;&gt;"",35,0)+IF(F11&lt;&gt;"",25,0)+IF(G11&lt;&gt;"",20,0)+IF(D11&lt;&gt;"",10,0)+10</x:f>
        <x:v>45</x:v>
      </x:c>
      <x:c r="J11" s="26" t="str">
        <x:f>IF(I11&gt;=75,"Hot",IF(I11&gt;=50,"Warm","Cold"))</x:f>
        <x:v>Cold</x:v>
      </x:c>
      <x:c r="K11" s="26" t="str">
        <x:f>IF(B11="Travel &amp; Tourism","Social Media + Reels + Lead Generation",IF(B11="Hotel / Resort","Social Media + Reels + Ads",IF(B11="Healthcare / Clinic","Social Media + Branding + Lead Generation","Social Media + Reels + Lead Generation + Website")))</x:f>
        <x:v>Social Media + Reels + Lead Generation</x:v>
      </x:c>
      <x:c r="L11" s="26" t="str">
        <x:v>Not Contacted</x:v>
      </x:c>
      <x:c r="M11" s="26" t="str">
        <x:v>Public business listing; verify before outreach.</x:v>
      </x:c>
    </x:row>
    <x:row r="12">
      <x:c r="A12" s="26" t="str">
        <x:v>AKBAR TRAVELS OF INDIA (L.L.C)</x:v>
      </x:c>
      <x:c r="B12" s="26" t="str">
        <x:v>Travel &amp; Tourism</x:v>
      </x:c>
      <x:c r="C12" s="26" t="str">
        <x:v>Dubai</x:v>
      </x:c>
      <x:c r="D12" s="26" t="str">
        <x:v>Bur Dubai</x:v>
      </x:c>
      <x:c r="E12" s="26" t="str">
        <x:v>+97143935999</x:v>
      </x:c>
      <x:c r="F12" s="26" t="str"/>
      <x:c r="G12" s="26" t="str">
        <x:v>https://www.akbartravels.com</x:v>
      </x:c>
      <x:c r="H12" s="26" t="str">
        <x:v>https://dcciinfo.com/uae/dubai/tour-and-travel-agency/11222</x:v>
      </x:c>
      <x:c r="I12" s="26" t="n">
        <x:f>IF(E12&lt;&gt;"",35,0)+IF(F12&lt;&gt;"",25,0)+IF(G12&lt;&gt;"",20,0)+IF(D12&lt;&gt;"",10,0)+10</x:f>
        <x:v>75</x:v>
      </x:c>
      <x:c r="J12" s="26" t="str">
        <x:f>IF(I12&gt;=75,"Hot",IF(I12&gt;=50,"Warm","Cold"))</x:f>
        <x:v>Hot</x:v>
      </x:c>
      <x:c r="K12" s="26" t="str">
        <x:f>IF(B12="Travel &amp; Tourism","Social Media + Reels + Lead Generation",IF(B12="Hotel / Resort","Social Media + Reels + Ads",IF(B12="Healthcare / Clinic","Social Media + Branding + Lead Generation","Social Media + Reels + Lead Generation + Website")))</x:f>
        <x:v>Social Media + Reels + Lead Generation</x:v>
      </x:c>
      <x:c r="L12" s="26" t="str">
        <x:v>Not Contacted</x:v>
      </x:c>
      <x:c r="M12" s="26" t="str">
        <x:v>Public business listing; verify before outreach.</x:v>
      </x:c>
    </x:row>
    <x:row r="13">
      <x:c r="A13" s="26" t="str">
        <x:v>Akbar Travels Online FZE</x:v>
      </x:c>
      <x:c r="B13" s="26" t="str">
        <x:v>Travel &amp; Tourism</x:v>
      </x:c>
      <x:c r="C13" s="26" t="str">
        <x:v>Dubai</x:v>
      </x:c>
      <x:c r="D13" s="26" t="str"/>
      <x:c r="E13" s="26" t="str">
        <x:v>+97143561111</x:v>
      </x:c>
      <x:c r="F13" s="26" t="str"/>
      <x:c r="G13" s="26" t="str">
        <x:v>https://www.akbartravels.com</x:v>
      </x:c>
      <x:c r="H13" s="26" t="str">
        <x:v>https://dcciinfo.com/uae/dubai/tour-and-travel-agency/11222</x:v>
      </x:c>
      <x:c r="I13" s="26" t="n">
        <x:f>IF(E13&lt;&gt;"",35,0)+IF(F13&lt;&gt;"",25,0)+IF(G13&lt;&gt;"",20,0)+IF(D13&lt;&gt;"",10,0)+10</x:f>
        <x:v>65</x:v>
      </x:c>
      <x:c r="J13" s="26" t="str">
        <x:f>IF(I13&gt;=75,"Hot",IF(I13&gt;=50,"Warm","Cold"))</x:f>
        <x:v>Warm</x:v>
      </x:c>
      <x:c r="K13" s="26" t="str">
        <x:f>IF(B13="Travel &amp; Tourism","Social Media + Reels + Lead Generation",IF(B13="Hotel / Resort","Social Media + Reels + Ads",IF(B13="Healthcare / Clinic","Social Media + Branding + Lead Generation","Social Media + Reels + Lead Generation + Website")))</x:f>
        <x:v>Social Media + Reels + Lead Generation</x:v>
      </x:c>
      <x:c r="L13" s="26" t="str">
        <x:v>Not Contacted</x:v>
      </x:c>
      <x:c r="M13" s="26" t="str">
        <x:v>Public business listing; verify before outreach.</x:v>
      </x:c>
    </x:row>
    <x:row r="14">
      <x:c r="A14" s="26" t="str">
        <x:v>Al Abbas Travels L.L.C</x:v>
      </x:c>
      <x:c r="B14" s="26" t="str">
        <x:v>Travel &amp; Tourism</x:v>
      </x:c>
      <x:c r="C14" s="26" t="str">
        <x:v>Dubai</x:v>
      </x:c>
      <x:c r="D14" s="26" t="str">
        <x:v>Deira</x:v>
      </x:c>
      <x:c r="E14" s="26" t="str">
        <x:v>+97143328877</x:v>
      </x:c>
      <x:c r="F14" s="26" t="str"/>
      <x:c r="G14" s="26" t="str">
        <x:v>http://www.alabbas.com</x:v>
      </x:c>
      <x:c r="H14" s="26" t="str">
        <x:v>https://dcciinfo.com/uae/dubai/tour-and-travel-agency/11222</x:v>
      </x:c>
      <x:c r="I14" s="26" t="n">
        <x:f>IF(E14&lt;&gt;"",35,0)+IF(F14&lt;&gt;"",25,0)+IF(G14&lt;&gt;"",20,0)+IF(D14&lt;&gt;"",10,0)+10</x:f>
        <x:v>75</x:v>
      </x:c>
      <x:c r="J14" s="26" t="str">
        <x:f>IF(I14&gt;=75,"Hot",IF(I14&gt;=50,"Warm","Cold"))</x:f>
        <x:v>Hot</x:v>
      </x:c>
      <x:c r="K14" s="26" t="str">
        <x:f>IF(B14="Travel &amp; Tourism","Social Media + Reels + Lead Generation",IF(B14="Hotel / Resort","Social Media + Reels + Ads",IF(B14="Healthcare / Clinic","Social Media + Branding + Lead Generation","Social Media + Reels + Lead Generation + Website")))</x:f>
        <x:v>Social Media + Reels + Lead Generation</x:v>
      </x:c>
      <x:c r="L14" s="26" t="str">
        <x:v>Not Contacted</x:v>
      </x:c>
      <x:c r="M14" s="26" t="str">
        <x:v>Public business listing; verify before outreach.</x:v>
      </x:c>
    </x:row>
    <x:row r="15">
      <x:c r="A15" s="26" t="str">
        <x:v>Al Alali Tourism</x:v>
      </x:c>
      <x:c r="B15" s="26" t="str">
        <x:v>Travel &amp; Tourism</x:v>
      </x:c>
      <x:c r="C15" s="26" t="str">
        <x:v>Dubai</x:v>
      </x:c>
      <x:c r="D15" s="26" t="str">
        <x:v>Hamarain Centre</x:v>
      </x:c>
      <x:c r="E15" s="26" t="str">
        <x:v>+97142680933</x:v>
      </x:c>
      <x:c r="F15" s="26" t="str"/>
      <x:c r="G15" s="26" t="str">
        <x:v>http://www.alalalitourism.com</x:v>
      </x:c>
      <x:c r="H15" s="26" t="str">
        <x:v>https://dcciinfo.com/uae/dubai/tour-and-travel-agency/11222</x:v>
      </x:c>
      <x:c r="I15" s="26" t="n">
        <x:f>IF(E15&lt;&gt;"",35,0)+IF(F15&lt;&gt;"",25,0)+IF(G15&lt;&gt;"",20,0)+IF(D15&lt;&gt;"",10,0)+10</x:f>
        <x:v>75</x:v>
      </x:c>
      <x:c r="J15" s="26" t="str">
        <x:f>IF(I15&gt;=75,"Hot",IF(I15&gt;=50,"Warm","Cold"))</x:f>
        <x:v>Hot</x:v>
      </x:c>
      <x:c r="K15" s="26" t="str">
        <x:f>IF(B15="Travel &amp; Tourism","Social Media + Reels + Lead Generation",IF(B15="Hotel / Resort","Social Media + Reels + Ads",IF(B15="Healthcare / Clinic","Social Media + Branding + Lead Generation","Social Media + Reels + Lead Generation + Website")))</x:f>
        <x:v>Social Media + Reels + Lead Generation</x:v>
      </x:c>
      <x:c r="L15" s="26" t="str">
        <x:v>Not Contacted</x:v>
      </x:c>
      <x:c r="M15" s="26" t="str">
        <x:v>Public business listing; verify before outreach.</x:v>
      </x:c>
    </x:row>
    <x:row r="16">
      <x:c r="A16" s="26" t="str">
        <x:v>Al Arabi Travel Agency</x:v>
      </x:c>
      <x:c r="B16" s="26" t="str">
        <x:v>Travel &amp; Tourism</x:v>
      </x:c>
      <x:c r="C16" s="26" t="str">
        <x:v>Dubai</x:v>
      </x:c>
      <x:c r="D16" s="26" t="str">
        <x:v>Sheikh Zayed Road</x:v>
      </x:c>
      <x:c r="E16" s="26" t="str">
        <x:v>+97143433929</x:v>
      </x:c>
      <x:c r="F16" s="26" t="str"/>
      <x:c r="G16" s="26" t="str">
        <x:v>http://www.alarabitravel.ae</x:v>
      </x:c>
      <x:c r="H16" s="26" t="str">
        <x:v>https://dcciinfo.com/uae/dubai/tour-and-travel-agency/11222</x:v>
      </x:c>
      <x:c r="I16" s="26" t="n">
        <x:f>IF(E16&lt;&gt;"",35,0)+IF(F16&lt;&gt;"",25,0)+IF(G16&lt;&gt;"",20,0)+IF(D16&lt;&gt;"",10,0)+10</x:f>
        <x:v>75</x:v>
      </x:c>
      <x:c r="J16" s="26" t="str">
        <x:f>IF(I16&gt;=75,"Hot",IF(I16&gt;=50,"Warm","Cold"))</x:f>
        <x:v>Hot</x:v>
      </x:c>
      <x:c r="K16" s="26" t="str">
        <x:f>IF(B16="Travel &amp; Tourism","Social Media + Reels + Lead Generation",IF(B16="Hotel / Resort","Social Media + Reels + Ads",IF(B16="Healthcare / Clinic","Social Media + Branding + Lead Generation","Social Media + Reels + Lead Generation + Website")))</x:f>
        <x:v>Social Media + Reels + Lead Generation</x:v>
      </x:c>
      <x:c r="L16" s="26" t="str">
        <x:v>Not Contacted</x:v>
      </x:c>
      <x:c r="M16" s="26" t="str">
        <x:v>Public business listing; verify before outreach.</x:v>
      </x:c>
    </x:row>
    <x:row r="17">
      <x:c r="A17" s="26" t="str">
        <x:v>AL BARRAK TRAVEL AND TOURISM</x:v>
      </x:c>
      <x:c r="B17" s="26" t="str">
        <x:v>Travel &amp; Tourism</x:v>
      </x:c>
      <x:c r="C17" s="26" t="str">
        <x:v>Dubai</x:v>
      </x:c>
      <x:c r="D17" s="26" t="str"/>
      <x:c r="E17" s="26" t="str">
        <x:v>+97143208808</x:v>
      </x:c>
      <x:c r="F17" s="26" t="str"/>
      <x:c r="G17" s="26" t="str"/>
      <x:c r="H17" s="26" t="str">
        <x:v>https://dcciinfo.com/uae/dubai/tour-and-travel-agency/11222</x:v>
      </x:c>
      <x:c r="I17" s="26" t="n">
        <x:f>IF(E17&lt;&gt;"",35,0)+IF(F17&lt;&gt;"",25,0)+IF(G17&lt;&gt;"",20,0)+IF(D17&lt;&gt;"",10,0)+10</x:f>
        <x:v>45</x:v>
      </x:c>
      <x:c r="J17" s="26" t="str">
        <x:f>IF(I17&gt;=75,"Hot",IF(I17&gt;=50,"Warm","Cold"))</x:f>
        <x:v>Cold</x:v>
      </x:c>
      <x:c r="K17" s="26" t="str">
        <x:f>IF(B17="Travel &amp; Tourism","Social Media + Reels + Lead Generation",IF(B17="Hotel / Resort","Social Media + Reels + Ads",IF(B17="Healthcare / Clinic","Social Media + Branding + Lead Generation","Social Media + Reels + Lead Generation + Website")))</x:f>
        <x:v>Social Media + Reels + Lead Generation</x:v>
      </x:c>
      <x:c r="L17" s="26" t="str">
        <x:v>Not Contacted</x:v>
      </x:c>
      <x:c r="M17" s="26" t="str">
        <x:v>Public business listing; verify before outreach.</x:v>
      </x:c>
    </x:row>
    <x:row r="18">
      <x:c r="A18" s="26" t="str">
        <x:v>AL BUKHARI TRAVELS &amp; TOURISM L.L.C</x:v>
      </x:c>
      <x:c r="B18" s="26" t="str">
        <x:v>Travel &amp; Tourism</x:v>
      </x:c>
      <x:c r="C18" s="26" t="str">
        <x:v>Dubai</x:v>
      </x:c>
      <x:c r="D18" s="26" t="str"/>
      <x:c r="E18" s="26" t="str">
        <x:v>+97142293087</x:v>
      </x:c>
      <x:c r="F18" s="26" t="str"/>
      <x:c r="G18" s="26" t="str"/>
      <x:c r="H18" s="26" t="str">
        <x:v>https://dcciinfo.com/uae/dubai/tour-and-travel-agency/11222</x:v>
      </x:c>
      <x:c r="I18" s="26" t="n">
        <x:f>IF(E18&lt;&gt;"",35,0)+IF(F18&lt;&gt;"",25,0)+IF(G18&lt;&gt;"",20,0)+IF(D18&lt;&gt;"",10,0)+10</x:f>
        <x:v>45</x:v>
      </x:c>
      <x:c r="J18" s="26" t="str">
        <x:f>IF(I18&gt;=75,"Hot",IF(I18&gt;=50,"Warm","Cold"))</x:f>
        <x:v>Cold</x:v>
      </x:c>
      <x:c r="K18" s="26" t="str">
        <x:f>IF(B18="Travel &amp; Tourism","Social Media + Reels + Lead Generation",IF(B18="Hotel / Resort","Social Media + Reels + Ads",IF(B18="Healthcare / Clinic","Social Media + Branding + Lead Generation","Social Media + Reels + Lead Generation + Website")))</x:f>
        <x:v>Social Media + Reels + Lead Generation</x:v>
      </x:c>
      <x:c r="L18" s="26" t="str">
        <x:v>Not Contacted</x:v>
      </x:c>
      <x:c r="M18" s="26" t="str">
        <x:v>Public business listing; verify before outreach.</x:v>
      </x:c>
    </x:row>
    <x:row r="19">
      <x:c r="A19" s="26" t="str">
        <x:v>Al Diwanya Travel &amp; Tourism L.L.C</x:v>
      </x:c>
      <x:c r="B19" s="26" t="str">
        <x:v>Travel &amp; Tourism</x:v>
      </x:c>
      <x:c r="C19" s="26" t="str">
        <x:v>Dubai</x:v>
      </x:c>
      <x:c r="D19" s="26" t="str"/>
      <x:c r="E19" s="26" t="str">
        <x:v>+97142282337</x:v>
      </x:c>
      <x:c r="F19" s="26" t="str"/>
      <x:c r="G19" s="26" t="str">
        <x:v>http://www.aldiwanyatravel.com</x:v>
      </x:c>
      <x:c r="H19" s="26" t="str">
        <x:v>https://dcciinfo.com/uae/dubai/tour-and-travel-agency/11222</x:v>
      </x:c>
      <x:c r="I19" s="26" t="n">
        <x:f>IF(E19&lt;&gt;"",35,0)+IF(F19&lt;&gt;"",25,0)+IF(G19&lt;&gt;"",20,0)+IF(D19&lt;&gt;"",10,0)+10</x:f>
        <x:v>65</x:v>
      </x:c>
      <x:c r="J19" s="26" t="str">
        <x:f>IF(I19&gt;=75,"Hot",IF(I19&gt;=50,"Warm","Cold"))</x:f>
        <x:v>Warm</x:v>
      </x:c>
      <x:c r="K19" s="26" t="str">
        <x:f>IF(B19="Travel &amp; Tourism","Social Media + Reels + Lead Generation",IF(B19="Hotel / Resort","Social Media + Reels + Ads",IF(B19="Healthcare / Clinic","Social Media + Branding + Lead Generation","Social Media + Reels + Lead Generation + Website")))</x:f>
        <x:v>Social Media + Reels + Lead Generation</x:v>
      </x:c>
      <x:c r="L19" s="26" t="str">
        <x:v>Not Contacted</x:v>
      </x:c>
      <x:c r="M19" s="26" t="str">
        <x:v>Public business listing; verify before outreach.</x:v>
      </x:c>
    </x:row>
    <x:row r="20">
      <x:c r="A20" s="26" t="str">
        <x:v>Al Fajer Travel Tourism &amp; Cargo</x:v>
      </x:c>
      <x:c r="B20" s="26" t="str">
        <x:v>Travel &amp; Tourism</x:v>
      </x:c>
      <x:c r="C20" s="26" t="str">
        <x:v>Dubai</x:v>
      </x:c>
      <x:c r="D20" s="26" t="str">
        <x:v>Airport Road</x:v>
      </x:c>
      <x:c r="E20" s="26" t="str">
        <x:v>+97142869499</x:v>
      </x:c>
      <x:c r="F20" s="26" t="str"/>
      <x:c r="G20" s="26" t="str">
        <x:v>http://www.alfajer.com</x:v>
      </x:c>
      <x:c r="H20" s="26" t="str">
        <x:v>https://dcciinfo.com/uae/dubai/tour-and-travel-agency/11222</x:v>
      </x:c>
      <x:c r="I20" s="26" t="n">
        <x:f>IF(E20&lt;&gt;"",35,0)+IF(F20&lt;&gt;"",25,0)+IF(G20&lt;&gt;"",20,0)+IF(D20&lt;&gt;"",10,0)+10</x:f>
        <x:v>75</x:v>
      </x:c>
      <x:c r="J20" s="26" t="str">
        <x:f>IF(I20&gt;=75,"Hot",IF(I20&gt;=50,"Warm","Cold"))</x:f>
        <x:v>Hot</x:v>
      </x:c>
      <x:c r="K20" s="26" t="str">
        <x:f>IF(B20="Travel &amp; Tourism","Social Media + Reels + Lead Generation",IF(B20="Hotel / Resort","Social Media + Reels + Ads",IF(B20="Healthcare / Clinic","Social Media + Branding + Lead Generation","Social Media + Reels + Lead Generation + Website")))</x:f>
        <x:v>Social Media + Reels + Lead Generation</x:v>
      </x:c>
      <x:c r="L20" s="26" t="str">
        <x:v>Not Contacted</x:v>
      </x:c>
      <x:c r="M20" s="26" t="str">
        <x:v>Public business listing; verify before outreach.</x:v>
      </x:c>
    </x:row>
    <x:row r="21">
      <x:c r="A21" s="26" t="str">
        <x:v>AL FARAENA TOURISM (L.L.C)</x:v>
      </x:c>
      <x:c r="B21" s="26" t="str">
        <x:v>Travel &amp; Tourism</x:v>
      </x:c>
      <x:c r="C21" s="26" t="str">
        <x:v>Dubai</x:v>
      </x:c>
      <x:c r="D21" s="26" t="str">
        <x:v>Deira</x:v>
      </x:c>
      <x:c r="E21" s="26" t="str">
        <x:v>+97142555170</x:v>
      </x:c>
      <x:c r="F21" s="26" t="str"/>
      <x:c r="G21" s="26" t="str">
        <x:v>http://www.alfaraenatours.com</x:v>
      </x:c>
      <x:c r="H21" s="26" t="str">
        <x:v>https://dcciinfo.com/uae/dubai/tour-and-travel-agency/11222</x:v>
      </x:c>
      <x:c r="I21" s="26" t="n">
        <x:f>IF(E21&lt;&gt;"",35,0)+IF(F21&lt;&gt;"",25,0)+IF(G21&lt;&gt;"",20,0)+IF(D21&lt;&gt;"",10,0)+10</x:f>
        <x:v>75</x:v>
      </x:c>
      <x:c r="J21" s="26" t="str">
        <x:f>IF(I21&gt;=75,"Hot",IF(I21&gt;=50,"Warm","Cold"))</x:f>
        <x:v>Hot</x:v>
      </x:c>
      <x:c r="K21" s="26" t="str">
        <x:f>IF(B21="Travel &amp; Tourism","Social Media + Reels + Lead Generation",IF(B21="Hotel / Resort","Social Media + Reels + Ads",IF(B21="Healthcare / Clinic","Social Media + Branding + Lead Generation","Social Media + Reels + Lead Generation + Website")))</x:f>
        <x:v>Social Media + Reels + Lead Generation</x:v>
      </x:c>
      <x:c r="L21" s="26" t="str">
        <x:v>Not Contacted</x:v>
      </x:c>
      <x:c r="M21" s="26" t="str">
        <x:v>Public business listing; verify before outreach.</x:v>
      </x:c>
    </x:row>
    <x:row r="22">
      <x:c r="A22" s="26" t="str">
        <x:v>Al Fares Travel &amp; Tourism</x:v>
      </x:c>
      <x:c r="B22" s="26" t="str">
        <x:v>Travel &amp; Tourism</x:v>
      </x:c>
      <x:c r="C22" s="26" t="str">
        <x:v>Dubai</x:v>
      </x:c>
      <x:c r="D22" s="26" t="str">
        <x:v>Deira</x:v>
      </x:c>
      <x:c r="E22" s="26" t="str">
        <x:v>+97142216262</x:v>
      </x:c>
      <x:c r="F22" s="26" t="str"/>
      <x:c r="G22" s="26" t="str">
        <x:v>https://www.alfarestravels.ae</x:v>
      </x:c>
      <x:c r="H22" s="26" t="str">
        <x:v>https://dcciinfo.com/uae/dubai/tour-and-travel-agency/11222/2</x:v>
      </x:c>
      <x:c r="I22" s="26" t="n">
        <x:f>IF(E22&lt;&gt;"",35,0)+IF(F22&lt;&gt;"",25,0)+IF(G22&lt;&gt;"",20,0)+IF(D22&lt;&gt;"",10,0)+10</x:f>
        <x:v>75</x:v>
      </x:c>
      <x:c r="J22" s="26" t="str">
        <x:f>IF(I22&gt;=75,"Hot",IF(I22&gt;=50,"Warm","Cold"))</x:f>
        <x:v>Hot</x:v>
      </x:c>
      <x:c r="K22" s="26" t="str">
        <x:f>IF(B22="Travel &amp; Tourism","Social Media + Reels + Lead Generation",IF(B22="Hotel / Resort","Social Media + Reels + Ads",IF(B22="Healthcare / Clinic","Social Media + Branding + Lead Generation","Social Media + Reels + Lead Generation + Website")))</x:f>
        <x:v>Social Media + Reels + Lead Generation</x:v>
      </x:c>
      <x:c r="L22" s="26" t="str">
        <x:v>Not Contacted</x:v>
      </x:c>
      <x:c r="M22" s="26" t="str">
        <x:v>Public business listing; verify before outreach.</x:v>
      </x:c>
    </x:row>
    <x:row r="23">
      <x:c r="A23" s="26" t="str">
        <x:v>Al Futtaim Travels Co LLC</x:v>
      </x:c>
      <x:c r="B23" s="26" t="str">
        <x:v>Travel &amp; Tourism</x:v>
      </x:c>
      <x:c r="C23" s="26" t="str">
        <x:v>Dubai</x:v>
      </x:c>
      <x:c r="D23" s="26" t="str">
        <x:v>Dubai Festival City</x:v>
      </x:c>
      <x:c r="E23" s="26" t="str">
        <x:v>+97142066800</x:v>
      </x:c>
      <x:c r="F23" s="26" t="str"/>
      <x:c r="G23" s="26" t="str">
        <x:v>http://www.access2travel.com</x:v>
      </x:c>
      <x:c r="H23" s="26" t="str">
        <x:v>https://dcciinfo.com/uae/dubai/tour-and-travel-agency/11222/2</x:v>
      </x:c>
      <x:c r="I23" s="26" t="n">
        <x:f>IF(E23&lt;&gt;"",35,0)+IF(F23&lt;&gt;"",25,0)+IF(G23&lt;&gt;"",20,0)+IF(D23&lt;&gt;"",10,0)+10</x:f>
        <x:v>75</x:v>
      </x:c>
      <x:c r="J23" s="26" t="str">
        <x:f>IF(I23&gt;=75,"Hot",IF(I23&gt;=50,"Warm","Cold"))</x:f>
        <x:v>Hot</x:v>
      </x:c>
      <x:c r="K23" s="26" t="str">
        <x:f>IF(B23="Travel &amp; Tourism","Social Media + Reels + Lead Generation",IF(B23="Hotel / Resort","Social Media + Reels + Ads",IF(B23="Healthcare / Clinic","Social Media + Branding + Lead Generation","Social Media + Reels + Lead Generation + Website")))</x:f>
        <x:v>Social Media + Reels + Lead Generation</x:v>
      </x:c>
      <x:c r="L23" s="26" t="str">
        <x:v>Not Contacted</x:v>
      </x:c>
      <x:c r="M23" s="26" t="str">
        <x:v>Public business listing; verify before outreach.</x:v>
      </x:c>
    </x:row>
    <x:row r="24">
      <x:c r="A24" s="26" t="str">
        <x:v>AL GHAITH &amp; AL MOOSA TRAVEL AGENCY (L.L.C.)</x:v>
      </x:c>
      <x:c r="B24" s="26" t="str">
        <x:v>Travel &amp; Tourism</x:v>
      </x:c>
      <x:c r="C24" s="26" t="str">
        <x:v>Dubai</x:v>
      </x:c>
      <x:c r="D24" s="26" t="str"/>
      <x:c r="E24" s="26" t="str">
        <x:v>+97142945666</x:v>
      </x:c>
      <x:c r="F24" s="26" t="str"/>
      <x:c r="G24" s="26" t="str">
        <x:v>https://www.alta-travel.co.ae</x:v>
      </x:c>
      <x:c r="H24" s="26" t="str">
        <x:v>https://dcciinfo.com/uae/dubai/tour-and-travel-agency/11222/2</x:v>
      </x:c>
      <x:c r="I24" s="26" t="n">
        <x:f>IF(E24&lt;&gt;"",35,0)+IF(F24&lt;&gt;"",25,0)+IF(G24&lt;&gt;"",20,0)+IF(D24&lt;&gt;"",10,0)+10</x:f>
        <x:v>65</x:v>
      </x:c>
      <x:c r="J24" s="26" t="str">
        <x:f>IF(I24&gt;=75,"Hot",IF(I24&gt;=50,"Warm","Cold"))</x:f>
        <x:v>Warm</x:v>
      </x:c>
      <x:c r="K24" s="26" t="str">
        <x:f>IF(B24="Travel &amp; Tourism","Social Media + Reels + Lead Generation",IF(B24="Hotel / Resort","Social Media + Reels + Ads",IF(B24="Healthcare / Clinic","Social Media + Branding + Lead Generation","Social Media + Reels + Lead Generation + Website")))</x:f>
        <x:v>Social Media + Reels + Lead Generation</x:v>
      </x:c>
      <x:c r="L24" s="26" t="str">
        <x:v>Not Contacted</x:v>
      </x:c>
      <x:c r="M24" s="26" t="str">
        <x:v>Public business listing; verify before outreach.</x:v>
      </x:c>
    </x:row>
    <x:row r="25">
      <x:c r="A25" s="26" t="str">
        <x:v>Al Ghaith &amp; Al Moosa Travel Agency (L.L.C.) (BR)</x:v>
      </x:c>
      <x:c r="B25" s="26" t="str">
        <x:v>Travel &amp; Tourism</x:v>
      </x:c>
      <x:c r="C25" s="26" t="str">
        <x:v>Dubai</x:v>
      </x:c>
      <x:c r="D25" s="26" t="str">
        <x:v>Maktoum Road</x:v>
      </x:c>
      <x:c r="E25" s="26" t="str">
        <x:v>+97142945666</x:v>
      </x:c>
      <x:c r="F25" s="26" t="str"/>
      <x:c r="G25" s="26" t="str">
        <x:v>http://www.alta-travel.com</x:v>
      </x:c>
      <x:c r="H25" s="26" t="str">
        <x:v>https://dcciinfo.com/uae/dubai/tour-and-travel-agency/11222/2</x:v>
      </x:c>
      <x:c r="I25" s="26" t="n">
        <x:f>IF(E25&lt;&gt;"",35,0)+IF(F25&lt;&gt;"",25,0)+IF(G25&lt;&gt;"",20,0)+IF(D25&lt;&gt;"",10,0)+10</x:f>
        <x:v>75</x:v>
      </x:c>
      <x:c r="J25" s="26" t="str">
        <x:f>IF(I25&gt;=75,"Hot",IF(I25&gt;=50,"Warm","Cold"))</x:f>
        <x:v>Hot</x:v>
      </x:c>
      <x:c r="K25" s="26" t="str">
        <x:f>IF(B25="Travel &amp; Tourism","Social Media + Reels + Lead Generation",IF(B25="Hotel / Resort","Social Media + Reels + Ads",IF(B25="Healthcare / Clinic","Social Media + Branding + Lead Generation","Social Media + Reels + Lead Generation + Website")))</x:f>
        <x:v>Social Media + Reels + Lead Generation</x:v>
      </x:c>
      <x:c r="L25" s="26" t="str">
        <x:v>Not Contacted</x:v>
      </x:c>
      <x:c r="M25" s="26" t="str">
        <x:v>Public business listing; verify before outreach.</x:v>
      </x:c>
    </x:row>
    <x:row r="26">
      <x:c r="A26" s="26" t="str">
        <x:v>Al Hadaf Tourism L.L.C</x:v>
      </x:c>
      <x:c r="B26" s="26" t="str">
        <x:v>Travel &amp; Tourism</x:v>
      </x:c>
      <x:c r="C26" s="26" t="str">
        <x:v>Dubai</x:v>
      </x:c>
      <x:c r="D26" s="26" t="str"/>
      <x:c r="E26" s="26" t="str">
        <x:v>+97142522486</x:v>
      </x:c>
      <x:c r="F26" s="26" t="str"/>
      <x:c r="G26" s="26" t="str">
        <x:v>http://www.alhadaftourism.com</x:v>
      </x:c>
      <x:c r="H26" s="26" t="str">
        <x:v>https://dcciinfo.com/uae/dubai/tour-and-travel-agency/11222/2</x:v>
      </x:c>
      <x:c r="I26" s="26" t="n">
        <x:f>IF(E26&lt;&gt;"",35,0)+IF(F26&lt;&gt;"",25,0)+IF(G26&lt;&gt;"",20,0)+IF(D26&lt;&gt;"",10,0)+10</x:f>
        <x:v>65</x:v>
      </x:c>
      <x:c r="J26" s="26" t="str">
        <x:f>IF(I26&gt;=75,"Hot",IF(I26&gt;=50,"Warm","Cold"))</x:f>
        <x:v>Warm</x:v>
      </x:c>
      <x:c r="K26" s="26" t="str">
        <x:f>IF(B26="Travel &amp; Tourism","Social Media + Reels + Lead Generation",IF(B26="Hotel / Resort","Social Media + Reels + Ads",IF(B26="Healthcare / Clinic","Social Media + Branding + Lead Generation","Social Media + Reels + Lead Generation + Website")))</x:f>
        <x:v>Social Media + Reels + Lead Generation</x:v>
      </x:c>
      <x:c r="L26" s="26" t="str">
        <x:v>Not Contacted</x:v>
      </x:c>
      <x:c r="M26" s="26" t="str">
        <x:v>Public business listing; verify before outreach.</x:v>
      </x:c>
    </x:row>
    <x:row r="27">
      <x:c r="A27" s="26" t="str">
        <x:v>AL HADAF TRAVEL AND TOURISM L.L.C</x:v>
      </x:c>
      <x:c r="B27" s="26" t="str">
        <x:v>Travel &amp; Tourism</x:v>
      </x:c>
      <x:c r="C27" s="26" t="str">
        <x:v>Dubai</x:v>
      </x:c>
      <x:c r="D27" s="26" t="str"/>
      <x:c r="E27" s="26" t="str">
        <x:v>+97142522486</x:v>
      </x:c>
      <x:c r="F27" s="26" t="str"/>
      <x:c r="G27" s="26" t="str"/>
      <x:c r="H27" s="26" t="str">
        <x:v>https://dcciinfo.com/uae/dubai/tour-and-travel-agency/11222/2</x:v>
      </x:c>
      <x:c r="I27" s="26" t="n">
        <x:f>IF(E27&lt;&gt;"",35,0)+IF(F27&lt;&gt;"",25,0)+IF(G27&lt;&gt;"",20,0)+IF(D27&lt;&gt;"",10,0)+10</x:f>
        <x:v>45</x:v>
      </x:c>
      <x:c r="J27" s="26" t="str">
        <x:f>IF(I27&gt;=75,"Hot",IF(I27&gt;=50,"Warm","Cold"))</x:f>
        <x:v>Cold</x:v>
      </x:c>
      <x:c r="K27" s="26" t="str">
        <x:f>IF(B27="Travel &amp; Tourism","Social Media + Reels + Lead Generation",IF(B27="Hotel / Resort","Social Media + Reels + Ads",IF(B27="Healthcare / Clinic","Social Media + Branding + Lead Generation","Social Media + Reels + Lead Generation + Website")))</x:f>
        <x:v>Social Media + Reels + Lead Generation</x:v>
      </x:c>
      <x:c r="L27" s="26" t="str">
        <x:v>Not Contacted</x:v>
      </x:c>
      <x:c r="M27" s="26" t="str">
        <x:v>Public business listing; verify before outreach.</x:v>
      </x:c>
    </x:row>
    <x:row r="28">
      <x:c r="A28" s="26" t="str">
        <x:v>AL JADOON TRAVEL L.L.C</x:v>
      </x:c>
      <x:c r="B28" s="26" t="str">
        <x:v>Travel &amp; Tourism</x:v>
      </x:c>
      <x:c r="C28" s="26" t="str">
        <x:v>Dubai</x:v>
      </x:c>
      <x:c r="D28" s="26" t="str"/>
      <x:c r="E28" s="26" t="str">
        <x:v>+97143480992</x:v>
      </x:c>
      <x:c r="F28" s="26" t="str"/>
      <x:c r="G28" s="26" t="str"/>
      <x:c r="H28" s="26" t="str">
        <x:v>https://dcciinfo.com/uae/dubai/tour-and-travel-agency/11222/2</x:v>
      </x:c>
      <x:c r="I28" s="26" t="n">
        <x:f>IF(E28&lt;&gt;"",35,0)+IF(F28&lt;&gt;"",25,0)+IF(G28&lt;&gt;"",20,0)+IF(D28&lt;&gt;"",10,0)+10</x:f>
        <x:v>45</x:v>
      </x:c>
      <x:c r="J28" s="26" t="str">
        <x:f>IF(I28&gt;=75,"Hot",IF(I28&gt;=50,"Warm","Cold"))</x:f>
        <x:v>Cold</x:v>
      </x:c>
      <x:c r="K28" s="26" t="str">
        <x:f>IF(B28="Travel &amp; Tourism","Social Media + Reels + Lead Generation",IF(B28="Hotel / Resort","Social Media + Reels + Ads",IF(B28="Healthcare / Clinic","Social Media + Branding + Lead Generation","Social Media + Reels + Lead Generation + Website")))</x:f>
        <x:v>Social Media + Reels + Lead Generation</x:v>
      </x:c>
      <x:c r="L28" s="26" t="str">
        <x:v>Not Contacted</x:v>
      </x:c>
      <x:c r="M28" s="26" t="str">
        <x:v>Public business listing; verify before outreach.</x:v>
      </x:c>
    </x:row>
    <x:row r="29">
      <x:c r="A29" s="26" t="str">
        <x:v>AL MASHOOR TRAVEL L.L.C</x:v>
      </x:c>
      <x:c r="B29" s="26" t="str">
        <x:v>Travel &amp; Tourism</x:v>
      </x:c>
      <x:c r="C29" s="26" t="str">
        <x:v>Dubai</x:v>
      </x:c>
      <x:c r="D29" s="26" t="str"/>
      <x:c r="E29" s="26" t="str">
        <x:v>+97142688668</x:v>
      </x:c>
      <x:c r="F29" s="26" t="str"/>
      <x:c r="G29" s="26" t="str"/>
      <x:c r="H29" s="26" t="str">
        <x:v>https://dcciinfo.com/uae/dubai/tour-and-travel-agency/11222/2</x:v>
      </x:c>
      <x:c r="I29" s="26" t="n">
        <x:f>IF(E29&lt;&gt;"",35,0)+IF(F29&lt;&gt;"",25,0)+IF(G29&lt;&gt;"",20,0)+IF(D29&lt;&gt;"",10,0)+10</x:f>
        <x:v>45</x:v>
      </x:c>
      <x:c r="J29" s="26" t="str">
        <x:f>IF(I29&gt;=75,"Hot",IF(I29&gt;=50,"Warm","Cold"))</x:f>
        <x:v>Cold</x:v>
      </x:c>
      <x:c r="K29" s="26" t="str">
        <x:f>IF(B29="Travel &amp; Tourism","Social Media + Reels + Lead Generation",IF(B29="Hotel / Resort","Social Media + Reels + Ads",IF(B29="Healthcare / Clinic","Social Media + Branding + Lead Generation","Social Media + Reels + Lead Generation + Website")))</x:f>
        <x:v>Social Media + Reels + Lead Generation</x:v>
      </x:c>
      <x:c r="L29" s="26" t="str">
        <x:v>Not Contacted</x:v>
      </x:c>
      <x:c r="M29" s="26" t="str">
        <x:v>Public business listing; verify before outreach.</x:v>
      </x:c>
    </x:row>
    <x:row r="30">
      <x:c r="A30" s="26" t="str">
        <x:v>Al Muhairi Travel</x:v>
      </x:c>
      <x:c r="B30" s="26" t="str">
        <x:v>Travel &amp; Tourism</x:v>
      </x:c>
      <x:c r="C30" s="26" t="str">
        <x:v>Dubai</x:v>
      </x:c>
      <x:c r="D30" s="26" t="str"/>
      <x:c r="E30" s="26" t="str">
        <x:v>+97142282188</x:v>
      </x:c>
      <x:c r="F30" s="26" t="str"/>
      <x:c r="G30" s="26" t="str"/>
      <x:c r="H30" s="26" t="str">
        <x:v>https://dcciinfo.com/uae/dubai/tour-and-travel-agency/11222/2</x:v>
      </x:c>
      <x:c r="I30" s="26" t="n">
        <x:f>IF(E30&lt;&gt;"",35,0)+IF(F30&lt;&gt;"",25,0)+IF(G30&lt;&gt;"",20,0)+IF(D30&lt;&gt;"",10,0)+10</x:f>
        <x:v>45</x:v>
      </x:c>
      <x:c r="J30" s="26" t="str">
        <x:f>IF(I30&gt;=75,"Hot",IF(I30&gt;=50,"Warm","Cold"))</x:f>
        <x:v>Cold</x:v>
      </x:c>
      <x:c r="K30" s="26" t="str">
        <x:f>IF(B30="Travel &amp; Tourism","Social Media + Reels + Lead Generation",IF(B30="Hotel / Resort","Social Media + Reels + Ads",IF(B30="Healthcare / Clinic","Social Media + Branding + Lead Generation","Social Media + Reels + Lead Generation + Website")))</x:f>
        <x:v>Social Media + Reels + Lead Generation</x:v>
      </x:c>
      <x:c r="L30" s="26" t="str">
        <x:v>Not Contacted</x:v>
      </x:c>
      <x:c r="M30" s="26" t="str">
        <x:v>Public business listing; verify before outreach.</x:v>
      </x:c>
    </x:row>
    <x:row r="31">
      <x:c r="A31" s="26" t="str">
        <x:v>AL MUHAIRI TRAVEL &amp; TOURISM</x:v>
      </x:c>
      <x:c r="B31" s="26" t="str">
        <x:v>Travel &amp; Tourism</x:v>
      </x:c>
      <x:c r="C31" s="26" t="str">
        <x:v>Dubai</x:v>
      </x:c>
      <x:c r="D31" s="26" t="str"/>
      <x:c r="E31" s="26" t="str">
        <x:v>+97142282198</x:v>
      </x:c>
      <x:c r="F31" s="26" t="str"/>
      <x:c r="G31" s="26" t="str"/>
      <x:c r="H31" s="26" t="str">
        <x:v>https://dcciinfo.com/uae/dubai/tour-and-travel-agency/11222/2</x:v>
      </x:c>
      <x:c r="I31" s="26" t="n">
        <x:f>IF(E31&lt;&gt;"",35,0)+IF(F31&lt;&gt;"",25,0)+IF(G31&lt;&gt;"",20,0)+IF(D31&lt;&gt;"",10,0)+10</x:f>
        <x:v>45</x:v>
      </x:c>
      <x:c r="J31" s="26" t="str">
        <x:f>IF(I31&gt;=75,"Hot",IF(I31&gt;=50,"Warm","Cold"))</x:f>
        <x:v>Cold</x:v>
      </x:c>
      <x:c r="K31" s="26" t="str">
        <x:f>IF(B31="Travel &amp; Tourism","Social Media + Reels + Lead Generation",IF(B31="Hotel / Resort","Social Media + Reels + Ads",IF(B31="Healthcare / Clinic","Social Media + Branding + Lead Generation","Social Media + Reels + Lead Generation + Website")))</x:f>
        <x:v>Social Media + Reels + Lead Generation</x:v>
      </x:c>
      <x:c r="L31" s="26" t="str">
        <x:v>Not Contacted</x:v>
      </x:c>
      <x:c r="M31" s="26" t="str">
        <x:v>Public business listing; verify before outreach.</x:v>
      </x:c>
    </x:row>
    <x:row r="32">
      <x:c r="A32" s="26" t="str">
        <x:v>AL MUKHTAR TRAVEL &amp; TOURISM L.L.C</x:v>
      </x:c>
      <x:c r="B32" s="26" t="str">
        <x:v>Travel &amp; Tourism</x:v>
      </x:c>
      <x:c r="C32" s="26" t="str">
        <x:v>Dubai</x:v>
      </x:c>
      <x:c r="D32" s="26" t="str"/>
      <x:c r="E32" s="26" t="str">
        <x:v>+97142273973</x:v>
      </x:c>
      <x:c r="F32" s="26" t="str"/>
      <x:c r="G32" s="26" t="str"/>
      <x:c r="H32" s="26" t="str">
        <x:v>https://dcciinfo.com/uae/dubai/tour-and-travel-agency/11222/2</x:v>
      </x:c>
      <x:c r="I32" s="26" t="n">
        <x:f>IF(E32&lt;&gt;"",35,0)+IF(F32&lt;&gt;"",25,0)+IF(G32&lt;&gt;"",20,0)+IF(D32&lt;&gt;"",10,0)+10</x:f>
        <x:v>45</x:v>
      </x:c>
      <x:c r="J32" s="26" t="str">
        <x:f>IF(I32&gt;=75,"Hot",IF(I32&gt;=50,"Warm","Cold"))</x:f>
        <x:v>Cold</x:v>
      </x:c>
      <x:c r="K32" s="26" t="str">
        <x:f>IF(B32="Travel &amp; Tourism","Social Media + Reels + Lead Generation",IF(B32="Hotel / Resort","Social Media + Reels + Ads",IF(B32="Healthcare / Clinic","Social Media + Branding + Lead Generation","Social Media + Reels + Lead Generation + Website")))</x:f>
        <x:v>Social Media + Reels + Lead Generation</x:v>
      </x:c>
      <x:c r="L32" s="26" t="str">
        <x:v>Not Contacted</x:v>
      </x:c>
      <x:c r="M32" s="26" t="str">
        <x:v>Public business listing; verify before outreach.</x:v>
      </x:c>
    </x:row>
    <x:row r="33">
      <x:c r="A33" s="26" t="str">
        <x:v>AL NABOODAH TRAVEL (L.L.C)</x:v>
      </x:c>
      <x:c r="B33" s="26" t="str">
        <x:v>Travel &amp; Tourism</x:v>
      </x:c>
      <x:c r="C33" s="26" t="str">
        <x:v>Dubai</x:v>
      </x:c>
      <x:c r="D33" s="26" t="str"/>
      <x:c r="E33" s="26" t="str">
        <x:v>+97142940099</x:v>
      </x:c>
      <x:c r="F33" s="26" t="str"/>
      <x:c r="G33" s="26" t="str"/>
      <x:c r="H33" s="26" t="str">
        <x:v>https://dcciinfo.com/uae/dubai/tour-and-travel-agency/11222/2</x:v>
      </x:c>
      <x:c r="I33" s="26" t="n">
        <x:f>IF(E33&lt;&gt;"",35,0)+IF(F33&lt;&gt;"",25,0)+IF(G33&lt;&gt;"",20,0)+IF(D33&lt;&gt;"",10,0)+10</x:f>
        <x:v>45</x:v>
      </x:c>
      <x:c r="J33" s="26" t="str">
        <x:f>IF(I33&gt;=75,"Hot",IF(I33&gt;=50,"Warm","Cold"))</x:f>
        <x:v>Cold</x:v>
      </x:c>
      <x:c r="K33" s="26" t="str">
        <x:f>IF(B33="Travel &amp; Tourism","Social Media + Reels + Lead Generation",IF(B33="Hotel / Resort","Social Media + Reels + Ads",IF(B33="Healthcare / Clinic","Social Media + Branding + Lead Generation","Social Media + Reels + Lead Generation + Website")))</x:f>
        <x:v>Social Media + Reels + Lead Generation</x:v>
      </x:c>
      <x:c r="L33" s="26" t="str">
        <x:v>Not Contacted</x:v>
      </x:c>
      <x:c r="M33" s="26" t="str">
        <x:v>Public business listing; verify before outreach.</x:v>
      </x:c>
    </x:row>
    <x:row r="34">
      <x:c r="A34" s="26" t="str">
        <x:v>Al Naboodah Travel &amp;Tourism Agencies (L.L.C.)</x:v>
      </x:c>
      <x:c r="B34" s="26" t="str">
        <x:v>Travel &amp; Tourism</x:v>
      </x:c>
      <x:c r="C34" s="26" t="str">
        <x:v>Dubai</x:v>
      </x:c>
      <x:c r="D34" s="26" t="str"/>
      <x:c r="E34" s="26" t="str">
        <x:v>+97142940099</x:v>
      </x:c>
      <x:c r="F34" s="26" t="str"/>
      <x:c r="G34" s="26" t="str">
        <x:v>https://www.uaetraveler.com</x:v>
      </x:c>
      <x:c r="H34" s="26" t="str">
        <x:v>https://dcciinfo.com/uae/dubai/tour-and-travel-agency/11222/2</x:v>
      </x:c>
      <x:c r="I34" s="26" t="n">
        <x:f>IF(E34&lt;&gt;"",35,0)+IF(F34&lt;&gt;"",25,0)+IF(G34&lt;&gt;"",20,0)+IF(D34&lt;&gt;"",10,0)+10</x:f>
        <x:v>65</x:v>
      </x:c>
      <x:c r="J34" s="26" t="str">
        <x:f>IF(I34&gt;=75,"Hot",IF(I34&gt;=50,"Warm","Cold"))</x:f>
        <x:v>Warm</x:v>
      </x:c>
      <x:c r="K34" s="26" t="str">
        <x:f>IF(B34="Travel &amp; Tourism","Social Media + Reels + Lead Generation",IF(B34="Hotel / Resort","Social Media + Reels + Ads",IF(B34="Healthcare / Clinic","Social Media + Branding + Lead Generation","Social Media + Reels + Lead Generation + Website")))</x:f>
        <x:v>Social Media + Reels + Lead Generation</x:v>
      </x:c>
      <x:c r="L34" s="26" t="str">
        <x:v>Not Contacted</x:v>
      </x:c>
      <x:c r="M34" s="26" t="str">
        <x:v>Public business listing; verify before outreach.</x:v>
      </x:c>
    </x:row>
    <x:row r="35">
      <x:c r="A35" s="26" t="str">
        <x:v>AL NADDAF TOURISM &amp; TRAVEL L.L.C</x:v>
      </x:c>
      <x:c r="B35" s="26" t="str">
        <x:v>Travel &amp; Tourism</x:v>
      </x:c>
      <x:c r="C35" s="26" t="str">
        <x:v>Dubai</x:v>
      </x:c>
      <x:c r="D35" s="26" t="str"/>
      <x:c r="E35" s="26" t="str">
        <x:v>+97143347852</x:v>
      </x:c>
      <x:c r="F35" s="26" t="str"/>
      <x:c r="G35" s="26" t="str"/>
      <x:c r="H35" s="26" t="str">
        <x:v>https://dcciinfo.com/uae/dubai/tour-and-travel-agency/11222/2</x:v>
      </x:c>
      <x:c r="I35" s="26" t="n">
        <x:f>IF(E35&lt;&gt;"",35,0)+IF(F35&lt;&gt;"",25,0)+IF(G35&lt;&gt;"",20,0)+IF(D35&lt;&gt;"",10,0)+10</x:f>
        <x:v>45</x:v>
      </x:c>
      <x:c r="J35" s="26" t="str">
        <x:f>IF(I35&gt;=75,"Hot",IF(I35&gt;=50,"Warm","Cold"))</x:f>
        <x:v>Cold</x:v>
      </x:c>
      <x:c r="K35" s="26" t="str">
        <x:f>IF(B35="Travel &amp; Tourism","Social Media + Reels + Lead Generation",IF(B35="Hotel / Resort","Social Media + Reels + Ads",IF(B35="Healthcare / Clinic","Social Media + Branding + Lead Generation","Social Media + Reels + Lead Generation + Website")))</x:f>
        <x:v>Social Media + Reels + Lead Generation</x:v>
      </x:c>
      <x:c r="L35" s="26" t="str">
        <x:v>Not Contacted</x:v>
      </x:c>
      <x:c r="M35" s="26" t="str">
        <x:v>Public business listing; verify before outreach.</x:v>
      </x:c>
    </x:row>
    <x:row r="36">
      <x:c r="A36" s="26" t="str">
        <x:v>AL NOOBI TRAVEL TOURISM L.L.C</x:v>
      </x:c>
      <x:c r="B36" s="26" t="str">
        <x:v>Travel &amp; Tourism</x:v>
      </x:c>
      <x:c r="C36" s="26" t="str">
        <x:v>Dubai</x:v>
      </x:c>
      <x:c r="D36" s="26" t="str">
        <x:v>Karama</x:v>
      </x:c>
      <x:c r="E36" s="26" t="str">
        <x:v>+97143378899</x:v>
      </x:c>
      <x:c r="F36" s="26" t="str"/>
      <x:c r="G36" s="26" t="str">
        <x:v>https://www.alnoobitravels.com</x:v>
      </x:c>
      <x:c r="H36" s="26" t="str">
        <x:v>https://dcciinfo.com/uae/dubai/tour-and-travel-agency/11222/2</x:v>
      </x:c>
      <x:c r="I36" s="26" t="n">
        <x:f>IF(E36&lt;&gt;"",35,0)+IF(F36&lt;&gt;"",25,0)+IF(G36&lt;&gt;"",20,0)+IF(D36&lt;&gt;"",10,0)+10</x:f>
        <x:v>75</x:v>
      </x:c>
      <x:c r="J36" s="26" t="str">
        <x:f>IF(I36&gt;=75,"Hot",IF(I36&gt;=50,"Warm","Cold"))</x:f>
        <x:v>Hot</x:v>
      </x:c>
      <x:c r="K36" s="26" t="str">
        <x:f>IF(B36="Travel &amp; Tourism","Social Media + Reels + Lead Generation",IF(B36="Hotel / Resort","Social Media + Reels + Ads",IF(B36="Healthcare / Clinic","Social Media + Branding + Lead Generation","Social Media + Reels + Lead Generation + Website")))</x:f>
        <x:v>Social Media + Reels + Lead Generation</x:v>
      </x:c>
      <x:c r="L36" s="26" t="str">
        <x:v>Not Contacted</x:v>
      </x:c>
      <x:c r="M36" s="26" t="str">
        <x:v>Public business listing; verify before outreach.</x:v>
      </x:c>
    </x:row>
    <x:row r="37">
      <x:c r="A37" s="26" t="str">
        <x:v>AL OFOQ ALJADEED TRAVEL L.L.C</x:v>
      </x:c>
      <x:c r="B37" s="26" t="str">
        <x:v>Travel &amp; Tourism</x:v>
      </x:c>
      <x:c r="C37" s="26" t="str">
        <x:v>Dubai</x:v>
      </x:c>
      <x:c r="D37" s="26" t="str"/>
      <x:c r="E37" s="26" t="str">
        <x:v>+97143440000</x:v>
      </x:c>
      <x:c r="F37" s="26" t="str"/>
      <x:c r="G37" s="26" t="str"/>
      <x:c r="H37" s="26" t="str">
        <x:v>https://dcciinfo.com/uae/dubai/tour-and-travel-agency/11222/2</x:v>
      </x:c>
      <x:c r="I37" s="26" t="n">
        <x:f>IF(E37&lt;&gt;"",35,0)+IF(F37&lt;&gt;"",25,0)+IF(G37&lt;&gt;"",20,0)+IF(D37&lt;&gt;"",10,0)+10</x:f>
        <x:v>45</x:v>
      </x:c>
      <x:c r="J37" s="26" t="str">
        <x:f>IF(I37&gt;=75,"Hot",IF(I37&gt;=50,"Warm","Cold"))</x:f>
        <x:v>Cold</x:v>
      </x:c>
      <x:c r="K37" s="26" t="str">
        <x:f>IF(B37="Travel &amp; Tourism","Social Media + Reels + Lead Generation",IF(B37="Hotel / Resort","Social Media + Reels + Ads",IF(B37="Healthcare / Clinic","Social Media + Branding + Lead Generation","Social Media + Reels + Lead Generation + Website")))</x:f>
        <x:v>Social Media + Reels + Lead Generation</x:v>
      </x:c>
      <x:c r="L37" s="26" t="str">
        <x:v>Not Contacted</x:v>
      </x:c>
      <x:c r="M37" s="26" t="str">
        <x:v>Public business listing; verify before outreach.</x:v>
      </x:c>
    </x:row>
    <x:row r="38">
      <x:c r="A38" s="26" t="str">
        <x:v>AL ROSTAMANI TRAVELS CO (L.L.C)</x:v>
      </x:c>
      <x:c r="B38" s="26" t="str">
        <x:v>Travel &amp; Tourism</x:v>
      </x:c>
      <x:c r="C38" s="26" t="str">
        <x:v>Dubai</x:v>
      </x:c>
      <x:c r="D38" s="26" t="str">
        <x:v>Maktoum Road</x:v>
      </x:c>
      <x:c r="E38" s="26" t="str">
        <x:v>+97142956777</x:v>
      </x:c>
      <x:c r="F38" s="26" t="str"/>
      <x:c r="G38" s="26" t="str">
        <x:v>http://www.alrostamanitravel.com</x:v>
      </x:c>
      <x:c r="H38" s="26" t="str">
        <x:v>https://dcciinfo.com/uae/dubai/tour-and-travel-agency/11222/2</x:v>
      </x:c>
      <x:c r="I38" s="26" t="n">
        <x:f>IF(E38&lt;&gt;"",35,0)+IF(F38&lt;&gt;"",25,0)+IF(G38&lt;&gt;"",20,0)+IF(D38&lt;&gt;"",10,0)+10</x:f>
        <x:v>75</x:v>
      </x:c>
      <x:c r="J38" s="26" t="str">
        <x:f>IF(I38&gt;=75,"Hot",IF(I38&gt;=50,"Warm","Cold"))</x:f>
        <x:v>Hot</x:v>
      </x:c>
      <x:c r="K38" s="26" t="str">
        <x:f>IF(B38="Travel &amp; Tourism","Social Media + Reels + Lead Generation",IF(B38="Hotel / Resort","Social Media + Reels + Ads",IF(B38="Healthcare / Clinic","Social Media + Branding + Lead Generation","Social Media + Reels + Lead Generation + Website")))</x:f>
        <x:v>Social Media + Reels + Lead Generation</x:v>
      </x:c>
      <x:c r="L38" s="26" t="str">
        <x:v>Not Contacted</x:v>
      </x:c>
      <x:c r="M38" s="26" t="str">
        <x:v>Public business listing; verify before outreach.</x:v>
      </x:c>
    </x:row>
    <x:row r="39">
      <x:c r="A39" s="26" t="str">
        <x:v>Al Shamsi Travel &amp; Tourism</x:v>
      </x:c>
      <x:c r="B39" s="26" t="str">
        <x:v>Travel &amp; Tourism</x:v>
      </x:c>
      <x:c r="C39" s="26" t="str">
        <x:v>Dubai</x:v>
      </x:c>
      <x:c r="D39" s="26" t="str">
        <x:v>Deira</x:v>
      </x:c>
      <x:c r="E39" s="26" t="str">
        <x:v>+97142222122</x:v>
      </x:c>
      <x:c r="F39" s="26" t="str"/>
      <x:c r="G39" s="26" t="str">
        <x:v>http://www.alshamsitravels.com</x:v>
      </x:c>
      <x:c r="H39" s="26" t="str">
        <x:v>https://dcciinfo.com/uae/dubai/tour-and-travel-agency/11222/2</x:v>
      </x:c>
      <x:c r="I39" s="26" t="n">
        <x:f>IF(E39&lt;&gt;"",35,0)+IF(F39&lt;&gt;"",25,0)+IF(G39&lt;&gt;"",20,0)+IF(D39&lt;&gt;"",10,0)+10</x:f>
        <x:v>75</x:v>
      </x:c>
      <x:c r="J39" s="26" t="str">
        <x:f>IF(I39&gt;=75,"Hot",IF(I39&gt;=50,"Warm","Cold"))</x:f>
        <x:v>Hot</x:v>
      </x:c>
      <x:c r="K39" s="26" t="str">
        <x:f>IF(B39="Travel &amp; Tourism","Social Media + Reels + Lead Generation",IF(B39="Hotel / Resort","Social Media + Reels + Ads",IF(B39="Healthcare / Clinic","Social Media + Branding + Lead Generation","Social Media + Reels + Lead Generation + Website")))</x:f>
        <x:v>Social Media + Reels + Lead Generation</x:v>
      </x:c>
      <x:c r="L39" s="26" t="str">
        <x:v>Not Contacted</x:v>
      </x:c>
      <x:c r="M39" s="26" t="str">
        <x:v>Public business listing; verify before outreach.</x:v>
      </x:c>
    </x:row>
    <x:row r="40">
      <x:c r="A40" s="26" t="str">
        <x:v>AL SHAMSI TRAVELS L.L.C</x:v>
      </x:c>
      <x:c r="B40" s="26" t="str">
        <x:v>Travel &amp; Tourism</x:v>
      </x:c>
      <x:c r="C40" s="26" t="str">
        <x:v>Dubai</x:v>
      </x:c>
      <x:c r="D40" s="26" t="str"/>
      <x:c r="E40" s="26" t="str">
        <x:v>+97142233635</x:v>
      </x:c>
      <x:c r="F40" s="26" t="str"/>
      <x:c r="G40" s="26" t="str"/>
      <x:c r="H40" s="26" t="str">
        <x:v>https://dcciinfo.com/uae/dubai/tour-and-travel-agency/11222/2</x:v>
      </x:c>
      <x:c r="I40" s="26" t="n">
        <x:f>IF(E40&lt;&gt;"",35,0)+IF(F40&lt;&gt;"",25,0)+IF(G40&lt;&gt;"",20,0)+IF(D40&lt;&gt;"",10,0)+10</x:f>
        <x:v>45</x:v>
      </x:c>
      <x:c r="J40" s="26" t="str">
        <x:f>IF(I40&gt;=75,"Hot",IF(I40&gt;=50,"Warm","Cold"))</x:f>
        <x:v>Cold</x:v>
      </x:c>
      <x:c r="K40" s="26" t="str">
        <x:f>IF(B40="Travel &amp; Tourism","Social Media + Reels + Lead Generation",IF(B40="Hotel / Resort","Social Media + Reels + Ads",IF(B40="Healthcare / Clinic","Social Media + Branding + Lead Generation","Social Media + Reels + Lead Generation + Website")))</x:f>
        <x:v>Social Media + Reels + Lead Generation</x:v>
      </x:c>
      <x:c r="L40" s="26" t="str">
        <x:v>Not Contacted</x:v>
      </x:c>
      <x:c r="M40" s="26" t="str">
        <x:v>Public business listing; verify before outreach.</x:v>
      </x:c>
    </x:row>
    <x:row r="41">
      <x:c r="A41" s="26" t="str">
        <x:v>Al Shehail Air Cargo L.L.C</x:v>
      </x:c>
      <x:c r="B41" s="26" t="str">
        <x:v>Travel &amp; Tourism</x:v>
      </x:c>
      <x:c r="C41" s="26" t="str">
        <x:v>Dubai</x:v>
      </x:c>
      <x:c r="D41" s="26" t="str">
        <x:v>Deira</x:v>
      </x:c>
      <x:c r="E41" s="26" t="str">
        <x:v>+97142278787</x:v>
      </x:c>
      <x:c r="F41" s="26" t="str"/>
      <x:c r="G41" s="26" t="str">
        <x:v>http://www.alshehail-aircargo.com</x:v>
      </x:c>
      <x:c r="H41" s="26" t="str">
        <x:v>https://dcciinfo.com/uae/dubai/tour-and-travel-agency/11222/2</x:v>
      </x:c>
      <x:c r="I41" s="26" t="n">
        <x:f>IF(E41&lt;&gt;"",35,0)+IF(F41&lt;&gt;"",25,0)+IF(G41&lt;&gt;"",20,0)+IF(D41&lt;&gt;"",10,0)+10</x:f>
        <x:v>75</x:v>
      </x:c>
      <x:c r="J41" s="26" t="str">
        <x:f>IF(I41&gt;=75,"Hot",IF(I41&gt;=50,"Warm","Cold"))</x:f>
        <x:v>Hot</x:v>
      </x:c>
      <x:c r="K41" s="26" t="str">
        <x:f>IF(B41="Travel &amp; Tourism","Social Media + Reels + Lead Generation",IF(B41="Hotel / Resort","Social Media + Reels + Ads",IF(B41="Healthcare / Clinic","Social Media + Branding + Lead Generation","Social Media + Reels + Lead Generation + Website")))</x:f>
        <x:v>Social Media + Reels + Lead Generation</x:v>
      </x:c>
      <x:c r="L41" s="26" t="str">
        <x:v>Not Contacted</x:v>
      </x:c>
      <x:c r="M41" s="26" t="str">
        <x:v>Public business listing; verify before outreach.</x:v>
      </x:c>
    </x:row>
    <x:row r="42">
      <x:c r="A42" s="26" t="str">
        <x:v>Abbara Polyclinic</x:v>
      </x:c>
      <x:c r="B42" s="26" t="str">
        <x:v>Healthcare / Clinic</x:v>
      </x:c>
      <x:c r="C42" s="26" t="str">
        <x:v>Dubai</x:v>
      </x:c>
      <x:c r="D42" s="26" t="str">
        <x:v>Deira</x:v>
      </x:c>
      <x:c r="E42" s="26" t="str">
        <x:v>+97142685333</x:v>
      </x:c>
      <x:c r="F42" s="26" t="str"/>
      <x:c r="G42" s="26" t="str"/>
      <x:c r="H42" s="26" t="str">
        <x:v>https://dcciinfo.com/uae/dubai/clinics/12619</x:v>
      </x:c>
      <x:c r="I42" s="26" t="n">
        <x:f>IF(E42&lt;&gt;"",35,0)+IF(F42&lt;&gt;"",25,0)+IF(G42&lt;&gt;"",20,0)+IF(D42&lt;&gt;"",10,0)+10</x:f>
        <x:v>55</x:v>
      </x:c>
      <x:c r="J42" s="26" t="str">
        <x:f>IF(I42&gt;=75,"Hot",IF(I42&gt;=50,"Warm","Cold"))</x:f>
        <x:v>Warm</x:v>
      </x:c>
      <x:c r="K42" s="26" t="str">
        <x:f>IF(B42="Travel &amp; Tourism","Social Media + Reels + Lead Generation",IF(B42="Hotel / Resort","Social Media + Reels + Ads",IF(B42="Healthcare / Clinic","Social Media + Branding + Lead Generation","Social Media + Reels + Lead Generation + Website")))</x:f>
        <x:v>Social Media + Branding + Lead Generation</x:v>
      </x:c>
      <x:c r="L42" s="26" t="str">
        <x:v>Not Contacted</x:v>
      </x:c>
      <x:c r="M42" s="26" t="str">
        <x:v>Public business listing; verify before outreach.</x:v>
      </x:c>
    </x:row>
    <x:row r="43">
      <x:c r="A43" s="26" t="str">
        <x:v>Abdul Salam Bisher Clinic, Dr</x:v>
      </x:c>
      <x:c r="B43" s="26" t="str">
        <x:v>Healthcare / Clinic</x:v>
      </x:c>
      <x:c r="C43" s="26" t="str">
        <x:v>Dubai</x:v>
      </x:c>
      <x:c r="D43" s="26" t="str">
        <x:v>Deira</x:v>
      </x:c>
      <x:c r="E43" s="26" t="str">
        <x:v>+97142732727</x:v>
      </x:c>
      <x:c r="F43" s="26" t="str"/>
      <x:c r="G43" s="26" t="str"/>
      <x:c r="H43" s="26" t="str">
        <x:v>https://dcciinfo.com/uae/dubai/clinics/12619</x:v>
      </x:c>
      <x:c r="I43" s="26" t="n">
        <x:f>IF(E43&lt;&gt;"",35,0)+IF(F43&lt;&gt;"",25,0)+IF(G43&lt;&gt;"",20,0)+IF(D43&lt;&gt;"",10,0)+10</x:f>
        <x:v>55</x:v>
      </x:c>
      <x:c r="J43" s="26" t="str">
        <x:f>IF(I43&gt;=75,"Hot",IF(I43&gt;=50,"Warm","Cold"))</x:f>
        <x:v>Warm</x:v>
      </x:c>
      <x:c r="K43" s="26" t="str">
        <x:f>IF(B43="Travel &amp; Tourism","Social Media + Reels + Lead Generation",IF(B43="Hotel / Resort","Social Media + Reels + Ads",IF(B43="Healthcare / Clinic","Social Media + Branding + Lead Generation","Social Media + Reels + Lead Generation + Website")))</x:f>
        <x:v>Social Media + Branding + Lead Generation</x:v>
      </x:c>
      <x:c r="L43" s="26" t="str">
        <x:v>Not Contacted</x:v>
      </x:c>
      <x:c r="M43" s="26" t="str">
        <x:v>Public business listing; verify before outreach.</x:v>
      </x:c>
    </x:row>
    <x:row r="44">
      <x:c r="A44" s="26" t="str">
        <x:v>Abdul zzam A Razzak Clinic Doctor</x:v>
      </x:c>
      <x:c r="B44" s="26" t="str">
        <x:v>Healthcare / Clinic</x:v>
      </x:c>
      <x:c r="C44" s="26" t="str">
        <x:v>Dubai</x:v>
      </x:c>
      <x:c r="D44" s="26" t="str">
        <x:v>Satwa</x:v>
      </x:c>
      <x:c r="E44" s="26" t="str">
        <x:v>+97143988055</x:v>
      </x:c>
      <x:c r="F44" s="26" t="str"/>
      <x:c r="G44" s="26" t="str">
        <x:v>http://www.abdulrazzak-clinic.com</x:v>
      </x:c>
      <x:c r="H44" s="26" t="str">
        <x:v>https://dcciinfo.com/uae/dubai/clinics/12619</x:v>
      </x:c>
      <x:c r="I44" s="26" t="n">
        <x:f>IF(E44&lt;&gt;"",35,0)+IF(F44&lt;&gt;"",25,0)+IF(G44&lt;&gt;"",20,0)+IF(D44&lt;&gt;"",10,0)+10</x:f>
        <x:v>75</x:v>
      </x:c>
      <x:c r="J44" s="26" t="str">
        <x:f>IF(I44&gt;=75,"Hot",IF(I44&gt;=50,"Warm","Cold"))</x:f>
        <x:v>Hot</x:v>
      </x:c>
      <x:c r="K44" s="26" t="str">
        <x:f>IF(B44="Travel &amp; Tourism","Social Media + Reels + Lead Generation",IF(B44="Hotel / Resort","Social Media + Reels + Ads",IF(B44="Healthcare / Clinic","Social Media + Branding + Lead Generation","Social Media + Reels + Lead Generation + Website")))</x:f>
        <x:v>Social Media + Branding + Lead Generation</x:v>
      </x:c>
      <x:c r="L44" s="26" t="str">
        <x:v>Not Contacted</x:v>
      </x:c>
      <x:c r="M44" s="26" t="str">
        <x:v>Public business listing; verify before outreach.</x:v>
      </x:c>
    </x:row>
    <x:row r="45">
      <x:c r="A45" s="26" t="str">
        <x:v>Abuhamour Medical Centre</x:v>
      </x:c>
      <x:c r="B45" s="26" t="str">
        <x:v>Healthcare / Clinic</x:v>
      </x:c>
      <x:c r="C45" s="26" t="str">
        <x:v>Dubai</x:v>
      </x:c>
      <x:c r="D45" s="26" t="str">
        <x:v>Dubai Healthcare City</x:v>
      </x:c>
      <x:c r="E45" s="26" t="str">
        <x:v>+97143635353</x:v>
      </x:c>
      <x:c r="F45" s="26" t="str"/>
      <x:c r="G45" s="26" t="str"/>
      <x:c r="H45" s="26" t="str">
        <x:v>https://dcciinfo.com/uae/dubai/clinics/12619</x:v>
      </x:c>
      <x:c r="I45" s="26" t="n">
        <x:f>IF(E45&lt;&gt;"",35,0)+IF(F45&lt;&gt;"",25,0)+IF(G45&lt;&gt;"",20,0)+IF(D45&lt;&gt;"",10,0)+10</x:f>
        <x:v>55</x:v>
      </x:c>
      <x:c r="J45" s="26" t="str">
        <x:f>IF(I45&gt;=75,"Hot",IF(I45&gt;=50,"Warm","Cold"))</x:f>
        <x:v>Warm</x:v>
      </x:c>
      <x:c r="K45" s="26" t="str">
        <x:f>IF(B45="Travel &amp; Tourism","Social Media + Reels + Lead Generation",IF(B45="Hotel / Resort","Social Media + Reels + Ads",IF(B45="Healthcare / Clinic","Social Media + Branding + Lead Generation","Social Media + Reels + Lead Generation + Website")))</x:f>
        <x:v>Social Media + Branding + Lead Generation</x:v>
      </x:c>
      <x:c r="L45" s="26" t="str">
        <x:v>Not Contacted</x:v>
      </x:c>
      <x:c r="M45" s="26" t="str">
        <x:v>Public business listing; verify before outreach.</x:v>
      </x:c>
    </x:row>
    <x:row r="46">
      <x:c r="A46" s="26" t="str">
        <x:v>Access Clinic</x:v>
      </x:c>
      <x:c r="B46" s="26" t="str">
        <x:v>Healthcare / Clinic</x:v>
      </x:c>
      <x:c r="C46" s="26" t="str">
        <x:v>Dubai</x:v>
      </x:c>
      <x:c r="D46" s="26" t="str">
        <x:v>Bur Dubai</x:v>
      </x:c>
      <x:c r="E46" s="26" t="str">
        <x:v>+97143527300</x:v>
      </x:c>
      <x:c r="F46" s="26" t="str"/>
      <x:c r="G46" s="26" t="str">
        <x:v>http://www.accessclinic.com</x:v>
      </x:c>
      <x:c r="H46" s="26" t="str">
        <x:v>https://dcciinfo.com/uae/dubai/clinics/12619</x:v>
      </x:c>
      <x:c r="I46" s="26" t="n">
        <x:f>IF(E46&lt;&gt;"",35,0)+IF(F46&lt;&gt;"",25,0)+IF(G46&lt;&gt;"",20,0)+IF(D46&lt;&gt;"",10,0)+10</x:f>
        <x:v>75</x:v>
      </x:c>
      <x:c r="J46" s="26" t="str">
        <x:f>IF(I46&gt;=75,"Hot",IF(I46&gt;=50,"Warm","Cold"))</x:f>
        <x:v>Hot</x:v>
      </x:c>
      <x:c r="K46" s="26" t="str">
        <x:f>IF(B46="Travel &amp; Tourism","Social Media + Reels + Lead Generation",IF(B46="Hotel / Resort","Social Media + Reels + Ads",IF(B46="Healthcare / Clinic","Social Media + Branding + Lead Generation","Social Media + Reels + Lead Generation + Website")))</x:f>
        <x:v>Social Media + Branding + Lead Generation</x:v>
      </x:c>
      <x:c r="L46" s="26" t="str">
        <x:v>Not Contacted</x:v>
      </x:c>
      <x:c r="M46" s="26" t="str">
        <x:v>Public business listing; verify before outreach.</x:v>
      </x:c>
    </x:row>
    <x:row r="47">
      <x:c r="A47" s="26" t="str">
        <x:v>Access Clinic Jafza</x:v>
      </x:c>
      <x:c r="B47" s="26" t="str">
        <x:v>Healthcare / Clinic</x:v>
      </x:c>
      <x:c r="C47" s="26" t="str">
        <x:v>Dubai</x:v>
      </x:c>
      <x:c r="D47" s="26" t="str">
        <x:v>Jebel Ali Free Zone Authority</x:v>
      </x:c>
      <x:c r="E47" s="26" t="str">
        <x:v>+97148806577</x:v>
      </x:c>
      <x:c r="F47" s="26" t="str"/>
      <x:c r="G47" s="26" t="str"/>
      <x:c r="H47" s="26" t="str">
        <x:v>https://dcciinfo.com/uae/dubai/clinics/12619</x:v>
      </x:c>
      <x:c r="I47" s="26" t="n">
        <x:f>IF(E47&lt;&gt;"",35,0)+IF(F47&lt;&gt;"",25,0)+IF(G47&lt;&gt;"",20,0)+IF(D47&lt;&gt;"",10,0)+10</x:f>
        <x:v>55</x:v>
      </x:c>
      <x:c r="J47" s="26" t="str">
        <x:f>IF(I47&gt;=75,"Hot",IF(I47&gt;=50,"Warm","Cold"))</x:f>
        <x:v>Warm</x:v>
      </x:c>
      <x:c r="K47" s="26" t="str">
        <x:f>IF(B47="Travel &amp; Tourism","Social Media + Reels + Lead Generation",IF(B47="Hotel / Resort","Social Media + Reels + Ads",IF(B47="Healthcare / Clinic","Social Media + Branding + Lead Generation","Social Media + Reels + Lead Generation + Website")))</x:f>
        <x:v>Social Media + Branding + Lead Generation</x:v>
      </x:c>
      <x:c r="L47" s="26" t="str">
        <x:v>Not Contacted</x:v>
      </x:c>
      <x:c r="M47" s="26" t="str">
        <x:v>Public business listing; verify before outreach.</x:v>
      </x:c>
    </x:row>
    <x:row r="48">
      <x:c r="A48" s="26" t="str">
        <x:v>Advance Behavioural Learning Environement</x:v>
      </x:c>
      <x:c r="B48" s="26" t="str">
        <x:v>Healthcare / Clinic</x:v>
      </x:c>
      <x:c r="C48" s="26" t="str">
        <x:v>Dubai</x:v>
      </x:c>
      <x:c r="D48" s="26" t="str">
        <x:v>Dubai Healthcare City</x:v>
      </x:c>
      <x:c r="E48" s="26" t="str">
        <x:v>+97145520351</x:v>
      </x:c>
      <x:c r="F48" s="26" t="str"/>
      <x:c r="G48" s="26" t="str">
        <x:v>http://www.able.ae</x:v>
      </x:c>
      <x:c r="H48" s="26" t="str">
        <x:v>https://dcciinfo.com/uae/dubai/clinics/12619</x:v>
      </x:c>
      <x:c r="I48" s="26" t="n">
        <x:f>IF(E48&lt;&gt;"",35,0)+IF(F48&lt;&gt;"",25,0)+IF(G48&lt;&gt;"",20,0)+IF(D48&lt;&gt;"",10,0)+10</x:f>
        <x:v>75</x:v>
      </x:c>
      <x:c r="J48" s="26" t="str">
        <x:f>IF(I48&gt;=75,"Hot",IF(I48&gt;=50,"Warm","Cold"))</x:f>
        <x:v>Hot</x:v>
      </x:c>
      <x:c r="K48" s="26" t="str">
        <x:f>IF(B48="Travel &amp; Tourism","Social Media + Reels + Lead Generation",IF(B48="Hotel / Resort","Social Media + Reels + Ads",IF(B48="Healthcare / Clinic","Social Media + Branding + Lead Generation","Social Media + Reels + Lead Generation + Website")))</x:f>
        <x:v>Social Media + Branding + Lead Generation</x:v>
      </x:c>
      <x:c r="L48" s="26" t="str">
        <x:v>Not Contacted</x:v>
      </x:c>
      <x:c r="M48" s="26" t="str">
        <x:v>Public business listing; verify before outreach.</x:v>
      </x:c>
    </x:row>
    <x:row r="49">
      <x:c r="A49" s="26" t="str">
        <x:v>Advance Hearing &amp; Balance Center</x:v>
      </x:c>
      <x:c r="B49" s="26" t="str">
        <x:v>Healthcare / Clinic</x:v>
      </x:c>
      <x:c r="C49" s="26" t="str">
        <x:v>Dubai</x:v>
      </x:c>
      <x:c r="D49" s="26" t="str">
        <x:v>Umm Hurair</x:v>
      </x:c>
      <x:c r="E49" s="26" t="str">
        <x:v>+97143422422</x:v>
      </x:c>
      <x:c r="F49" s="26" t="str"/>
      <x:c r="G49" s="26" t="str">
        <x:v>http://www.ahbc.ae</x:v>
      </x:c>
      <x:c r="H49" s="26" t="str">
        <x:v>https://dcciinfo.com/uae/dubai/clinics/12619</x:v>
      </x:c>
      <x:c r="I49" s="26" t="n">
        <x:f>IF(E49&lt;&gt;"",35,0)+IF(F49&lt;&gt;"",25,0)+IF(G49&lt;&gt;"",20,0)+IF(D49&lt;&gt;"",10,0)+10</x:f>
        <x:v>75</x:v>
      </x:c>
      <x:c r="J49" s="26" t="str">
        <x:f>IF(I49&gt;=75,"Hot",IF(I49&gt;=50,"Warm","Cold"))</x:f>
        <x:v>Hot</x:v>
      </x:c>
      <x:c r="K49" s="26" t="str">
        <x:f>IF(B49="Travel &amp; Tourism","Social Media + Reels + Lead Generation",IF(B49="Hotel / Resort","Social Media + Reels + Ads",IF(B49="Healthcare / Clinic","Social Media + Branding + Lead Generation","Social Media + Reels + Lead Generation + Website")))</x:f>
        <x:v>Social Media + Branding + Lead Generation</x:v>
      </x:c>
      <x:c r="L49" s="26" t="str">
        <x:v>Not Contacted</x:v>
      </x:c>
      <x:c r="M49" s="26" t="str">
        <x:v>Public business listing; verify before outreach.</x:v>
      </x:c>
    </x:row>
    <x:row r="50">
      <x:c r="A50" s="26" t="str">
        <x:v>Advance Pet Care Clinic</x:v>
      </x:c>
      <x:c r="B50" s="26" t="str">
        <x:v>Healthcare / Clinic</x:v>
      </x:c>
      <x:c r="C50" s="26" t="str">
        <x:v>Dubai</x:v>
      </x:c>
      <x:c r="D50" s="26" t="str">
        <x:v>Al Wasl</x:v>
      </x:c>
      <x:c r="E50" s="26" t="str">
        <x:v>+97143212535</x:v>
      </x:c>
      <x:c r="F50" s="26" t="str"/>
      <x:c r="G50" s="26" t="str">
        <x:v>http://www.apcc.ae</x:v>
      </x:c>
      <x:c r="H50" s="26" t="str">
        <x:v>https://dcciinfo.com/uae/dubai/clinics/12619</x:v>
      </x:c>
      <x:c r="I50" s="26" t="n">
        <x:f>IF(E50&lt;&gt;"",35,0)+IF(F50&lt;&gt;"",25,0)+IF(G50&lt;&gt;"",20,0)+IF(D50&lt;&gt;"",10,0)+10</x:f>
        <x:v>75</x:v>
      </x:c>
      <x:c r="J50" s="26" t="str">
        <x:f>IF(I50&gt;=75,"Hot",IF(I50&gt;=50,"Warm","Cold"))</x:f>
        <x:v>Hot</x:v>
      </x:c>
      <x:c r="K50" s="26" t="str">
        <x:f>IF(B50="Travel &amp; Tourism","Social Media + Reels + Lead Generation",IF(B50="Hotel / Resort","Social Media + Reels + Ads",IF(B50="Healthcare / Clinic","Social Media + Branding + Lead Generation","Social Media + Reels + Lead Generation + Website")))</x:f>
        <x:v>Social Media + Branding + Lead Generation</x:v>
      </x:c>
      <x:c r="L50" s="26" t="str">
        <x:v>Not Contacted</x:v>
      </x:c>
      <x:c r="M50" s="26" t="str">
        <x:v>Public business listing; verify before outreach.</x:v>
      </x:c>
    </x:row>
    <x:row r="51">
      <x:c r="A51" s="26" t="str">
        <x:v>Advanced Speciality Clinic</x:v>
      </x:c>
      <x:c r="B51" s="26" t="str">
        <x:v>Healthcare / Clinic</x:v>
      </x:c>
      <x:c r="C51" s="26" t="str">
        <x:v>Dubai</x:v>
      </x:c>
      <x:c r="D51" s="26" t="str">
        <x:v>Jumeirah</x:v>
      </x:c>
      <x:c r="E51" s="26" t="str">
        <x:v>+97143940941</x:v>
      </x:c>
      <x:c r="F51" s="26" t="str"/>
      <x:c r="G51" s="26" t="str"/>
      <x:c r="H51" s="26" t="str">
        <x:v>https://dcciinfo.com/uae/dubai/clinics/12619</x:v>
      </x:c>
      <x:c r="I51" s="26" t="n">
        <x:f>IF(E51&lt;&gt;"",35,0)+IF(F51&lt;&gt;"",25,0)+IF(G51&lt;&gt;"",20,0)+IF(D51&lt;&gt;"",10,0)+10</x:f>
        <x:v>55</x:v>
      </x:c>
      <x:c r="J51" s="26" t="str">
        <x:f>IF(I51&gt;=75,"Hot",IF(I51&gt;=50,"Warm","Cold"))</x:f>
        <x:v>Warm</x:v>
      </x:c>
      <x:c r="K51" s="26" t="str">
        <x:f>IF(B51="Travel &amp; Tourism","Social Media + Reels + Lead Generation",IF(B51="Hotel / Resort","Social Media + Reels + Ads",IF(B51="Healthcare / Clinic","Social Media + Branding + Lead Generation","Social Media + Reels + Lead Generation + Website")))</x:f>
        <x:v>Social Media + Branding + Lead Generation</x:v>
      </x:c>
      <x:c r="L51" s="26" t="str">
        <x:v>Not Contacted</x:v>
      </x:c>
      <x:c r="M51" s="26" t="str">
        <x:v>Public business listing; verify before outreach.</x:v>
      </x:c>
    </x:row>
    <x:row r="52">
      <x:c r="A52" s="26" t="str">
        <x:v>Advanced Speciality Clinics</x:v>
      </x:c>
      <x:c r="B52" s="26" t="str">
        <x:v>Healthcare / Clinic</x:v>
      </x:c>
      <x:c r="C52" s="26" t="str">
        <x:v>Dubai</x:v>
      </x:c>
      <x:c r="D52" s="26" t="str">
        <x:v>Jumeirah 3</x:v>
      </x:c>
      <x:c r="E52" s="26" t="str">
        <x:v>+97143943343</x:v>
      </x:c>
      <x:c r="F52" s="26" t="str"/>
      <x:c r="G52" s="26" t="str"/>
      <x:c r="H52" s="26" t="str">
        <x:v>https://dcciinfo.com/uae/dubai/clinics/12619</x:v>
      </x:c>
      <x:c r="I52" s="26" t="n">
        <x:f>IF(E52&lt;&gt;"",35,0)+IF(F52&lt;&gt;"",25,0)+IF(G52&lt;&gt;"",20,0)+IF(D52&lt;&gt;"",10,0)+10</x:f>
        <x:v>55</x:v>
      </x:c>
      <x:c r="J52" s="26" t="str">
        <x:f>IF(I52&gt;=75,"Hot",IF(I52&gt;=50,"Warm","Cold"))</x:f>
        <x:v>Warm</x:v>
      </x:c>
      <x:c r="K52" s="26" t="str">
        <x:f>IF(B52="Travel &amp; Tourism","Social Media + Reels + Lead Generation",IF(B52="Hotel / Resort","Social Media + Reels + Ads",IF(B52="Healthcare / Clinic","Social Media + Branding + Lead Generation","Social Media + Reels + Lead Generation + Website")))</x:f>
        <x:v>Social Media + Branding + Lead Generation</x:v>
      </x:c>
      <x:c r="L52" s="26" t="str">
        <x:v>Not Contacted</x:v>
      </x:c>
      <x:c r="M52" s="26" t="str">
        <x:v>Public business listing; verify before outreach.</x:v>
      </x:c>
    </x:row>
    <x:row r="53">
      <x:c r="A53" s="26" t="str">
        <x:v>Aesthetic Polyclinic</x:v>
      </x:c>
      <x:c r="B53" s="26" t="str">
        <x:v>Healthcare / Clinic</x:v>
      </x:c>
      <x:c r="C53" s="26" t="str">
        <x:v>Dubai</x:v>
      </x:c>
      <x:c r="D53" s="26" t="str">
        <x:v>Khalidiya</x:v>
      </x:c>
      <x:c r="E53" s="26" t="str">
        <x:v>+97146818722</x:v>
      </x:c>
      <x:c r="F53" s="26" t="str"/>
      <x:c r="G53" s="26" t="str">
        <x:v>http://www.aestheticscc.com</x:v>
      </x:c>
      <x:c r="H53" s="26" t="str">
        <x:v>https://dcciinfo.com/uae/dubai/clinics/12619</x:v>
      </x:c>
      <x:c r="I53" s="26" t="n">
        <x:f>IF(E53&lt;&gt;"",35,0)+IF(F53&lt;&gt;"",25,0)+IF(G53&lt;&gt;"",20,0)+IF(D53&lt;&gt;"",10,0)+10</x:f>
        <x:v>75</x:v>
      </x:c>
      <x:c r="J53" s="26" t="str">
        <x:f>IF(I53&gt;=75,"Hot",IF(I53&gt;=50,"Warm","Cold"))</x:f>
        <x:v>Hot</x:v>
      </x:c>
      <x:c r="K53" s="26" t="str">
        <x:f>IF(B53="Travel &amp; Tourism","Social Media + Reels + Lead Generation",IF(B53="Hotel / Resort","Social Media + Reels + Ads",IF(B53="Healthcare / Clinic","Social Media + Branding + Lead Generation","Social Media + Reels + Lead Generation + Website")))</x:f>
        <x:v>Social Media + Branding + Lead Generation</x:v>
      </x:c>
      <x:c r="L53" s="26" t="str">
        <x:v>Not Contacted</x:v>
      </x:c>
      <x:c r="M53" s="26" t="str">
        <x:v>Public business listing; verify before outreach.</x:v>
      </x:c>
    </x:row>
    <x:row r="54">
      <x:c r="A54" s="26" t="str">
        <x:v>Aesthetica Clinic</x:v>
      </x:c>
      <x:c r="B54" s="26" t="str">
        <x:v>Healthcare / Clinic</x:v>
      </x:c>
      <x:c r="C54" s="26" t="str">
        <x:v>Dubai</x:v>
      </x:c>
      <x:c r="D54" s="26" t="str">
        <x:v>Dubai Healthcare City</x:v>
      </x:c>
      <x:c r="E54" s="26" t="str">
        <x:v>+97144298533</x:v>
      </x:c>
      <x:c r="F54" s="26" t="str"/>
      <x:c r="G54" s="26" t="str">
        <x:v>http://www.aestheticaclinic.com</x:v>
      </x:c>
      <x:c r="H54" s="26" t="str">
        <x:v>https://dcciinfo.com/uae/dubai/clinics/12619</x:v>
      </x:c>
      <x:c r="I54" s="26" t="n">
        <x:f>IF(E54&lt;&gt;"",35,0)+IF(F54&lt;&gt;"",25,0)+IF(G54&lt;&gt;"",20,0)+IF(D54&lt;&gt;"",10,0)+10</x:f>
        <x:v>75</x:v>
      </x:c>
      <x:c r="J54" s="26" t="str">
        <x:f>IF(I54&gt;=75,"Hot",IF(I54&gt;=50,"Warm","Cold"))</x:f>
        <x:v>Hot</x:v>
      </x:c>
      <x:c r="K54" s="26" t="str">
        <x:f>IF(B54="Travel &amp; Tourism","Social Media + Reels + Lead Generation",IF(B54="Hotel / Resort","Social Media + Reels + Ads",IF(B54="Healthcare / Clinic","Social Media + Branding + Lead Generation","Social Media + Reels + Lead Generation + Website")))</x:f>
        <x:v>Social Media + Branding + Lead Generation</x:v>
      </x:c>
      <x:c r="L54" s="26" t="str">
        <x:v>Not Contacted</x:v>
      </x:c>
      <x:c r="M54" s="26" t="str">
        <x:v>Public business listing; verify before outreach.</x:v>
      </x:c>
    </x:row>
    <x:row r="55">
      <x:c r="A55" s="26" t="str">
        <x:v>Aesthetics International</x:v>
      </x:c>
      <x:c r="B55" s="26" t="str">
        <x:v>Healthcare / Clinic</x:v>
      </x:c>
      <x:c r="C55" s="26" t="str">
        <x:v>Dubai</x:v>
      </x:c>
      <x:c r="D55" s="26" t="str">
        <x:v>Umm Seqeim</x:v>
      </x:c>
      <x:c r="E55" s="26" t="str">
        <x:v>+97143845600</x:v>
      </x:c>
      <x:c r="F55" s="26" t="str"/>
      <x:c r="G55" s="26" t="str">
        <x:v>http://www.aesthetics.ae</x:v>
      </x:c>
      <x:c r="H55" s="26" t="str">
        <x:v>https://dcciinfo.com/uae/dubai/clinics/12619</x:v>
      </x:c>
      <x:c r="I55" s="26" t="n">
        <x:f>IF(E55&lt;&gt;"",35,0)+IF(F55&lt;&gt;"",25,0)+IF(G55&lt;&gt;"",20,0)+IF(D55&lt;&gt;"",10,0)+10</x:f>
        <x:v>75</x:v>
      </x:c>
      <x:c r="J55" s="26" t="str">
        <x:f>IF(I55&gt;=75,"Hot",IF(I55&gt;=50,"Warm","Cold"))</x:f>
        <x:v>Hot</x:v>
      </x:c>
      <x:c r="K55" s="26" t="str">
        <x:f>IF(B55="Travel &amp; Tourism","Social Media + Reels + Lead Generation",IF(B55="Hotel / Resort","Social Media + Reels + Ads",IF(B55="Healthcare / Clinic","Social Media + Branding + Lead Generation","Social Media + Reels + Lead Generation + Website")))</x:f>
        <x:v>Social Media + Branding + Lead Generation</x:v>
      </x:c>
      <x:c r="L55" s="26" t="str">
        <x:v>Not Contacted</x:v>
      </x:c>
      <x:c r="M55" s="26" t="str">
        <x:v>Public business listing; verify before outreach.</x:v>
      </x:c>
    </x:row>
    <x:row r="56">
      <x:c r="A56" s="26" t="str">
        <x:v>Aesthetix FZE</x:v>
      </x:c>
      <x:c r="B56" s="26" t="str">
        <x:v>Healthcare / Clinic</x:v>
      </x:c>
      <x:c r="C56" s="26" t="str">
        <x:v>Dubai</x:v>
      </x:c>
      <x:c r="D56" s="26" t="str">
        <x:v>Dubai Silicon Oasis</x:v>
      </x:c>
      <x:c r="E56" s="26" t="str">
        <x:v>+97143262333</x:v>
      </x:c>
      <x:c r="F56" s="26" t="str"/>
      <x:c r="G56" s="26" t="str">
        <x:v>http://aesthetixglobal.com</x:v>
      </x:c>
      <x:c r="H56" s="26" t="str">
        <x:v>https://dcciinfo.com/uae/dubai/clinics/12619</x:v>
      </x:c>
      <x:c r="I56" s="26" t="n">
        <x:f>IF(E56&lt;&gt;"",35,0)+IF(F56&lt;&gt;"",25,0)+IF(G56&lt;&gt;"",20,0)+IF(D56&lt;&gt;"",10,0)+10</x:f>
        <x:v>75</x:v>
      </x:c>
      <x:c r="J56" s="26" t="str">
        <x:f>IF(I56&gt;=75,"Hot",IF(I56&gt;=50,"Warm","Cold"))</x:f>
        <x:v>Hot</x:v>
      </x:c>
      <x:c r="K56" s="26" t="str">
        <x:f>IF(B56="Travel &amp; Tourism","Social Media + Reels + Lead Generation",IF(B56="Hotel / Resort","Social Media + Reels + Ads",IF(B56="Healthcare / Clinic","Social Media + Branding + Lead Generation","Social Media + Reels + Lead Generation + Website")))</x:f>
        <x:v>Social Media + Branding + Lead Generation</x:v>
      </x:c>
      <x:c r="L56" s="26" t="str">
        <x:v>Not Contacted</x:v>
      </x:c>
      <x:c r="M56" s="26" t="str">
        <x:v>Public business listing; verify before outreach.</x:v>
      </x:c>
    </x:row>
    <x:row r="57">
      <x:c r="A57" s="26" t="str">
        <x:v>Afford Clinic</x:v>
      </x:c>
      <x:c r="B57" s="26" t="str">
        <x:v>Healthcare / Clinic</x:v>
      </x:c>
      <x:c r="C57" s="26" t="str">
        <x:v>Dubai</x:v>
      </x:c>
      <x:c r="D57" s="26" t="str">
        <x:v>Al Nahda</x:v>
      </x:c>
      <x:c r="E57" s="26" t="str">
        <x:v>+971507857300</x:v>
      </x:c>
      <x:c r="F57" s="26" t="str"/>
      <x:c r="G57" s="26" t="str"/>
      <x:c r="H57" s="26" t="str">
        <x:v>https://dcciinfo.com/uae/dubai/clinics/12619</x:v>
      </x:c>
      <x:c r="I57" s="26" t="n">
        <x:f>IF(E57&lt;&gt;"",35,0)+IF(F57&lt;&gt;"",25,0)+IF(G57&lt;&gt;"",20,0)+IF(D57&lt;&gt;"",10,0)+10</x:f>
        <x:v>55</x:v>
      </x:c>
      <x:c r="J57" s="26" t="str">
        <x:f>IF(I57&gt;=75,"Hot",IF(I57&gt;=50,"Warm","Cold"))</x:f>
        <x:v>Warm</x:v>
      </x:c>
      <x:c r="K57" s="26" t="str">
        <x:f>IF(B57="Travel &amp; Tourism","Social Media + Reels + Lead Generation",IF(B57="Hotel / Resort","Social Media + Reels + Ads",IF(B57="Healthcare / Clinic","Social Media + Branding + Lead Generation","Social Media + Reels + Lead Generation + Website")))</x:f>
        <x:v>Social Media + Branding + Lead Generation</x:v>
      </x:c>
      <x:c r="L57" s="26" t="str">
        <x:v>Not Contacted</x:v>
      </x:c>
      <x:c r="M57" s="26" t="str">
        <x:v>Public business listing; verify before outreach.</x:v>
      </x:c>
    </x:row>
    <x:row r="58">
      <x:c r="A58" s="26" t="str">
        <x:v>Ahmed Kazim Orthopaedic Clinic, Dr</x:v>
      </x:c>
      <x:c r="B58" s="26" t="str">
        <x:v>Healthcare / Clinic</x:v>
      </x:c>
      <x:c r="C58" s="26" t="str">
        <x:v>Dubai</x:v>
      </x:c>
      <x:c r="D58" s="26" t="str">
        <x:v>Bur Dubai</x:v>
      </x:c>
      <x:c r="E58" s="26" t="str">
        <x:v>+97143933101</x:v>
      </x:c>
      <x:c r="F58" s="26" t="str"/>
      <x:c r="G58" s="26" t="str"/>
      <x:c r="H58" s="26" t="str">
        <x:v>https://dcciinfo.com/uae/dubai/clinics/12619</x:v>
      </x:c>
      <x:c r="I58" s="26" t="n">
        <x:f>IF(E58&lt;&gt;"",35,0)+IF(F58&lt;&gt;"",25,0)+IF(G58&lt;&gt;"",20,0)+IF(D58&lt;&gt;"",10,0)+10</x:f>
        <x:v>55</x:v>
      </x:c>
      <x:c r="J58" s="26" t="str">
        <x:f>IF(I58&gt;=75,"Hot",IF(I58&gt;=50,"Warm","Cold"))</x:f>
        <x:v>Warm</x:v>
      </x:c>
      <x:c r="K58" s="26" t="str">
        <x:f>IF(B58="Travel &amp; Tourism","Social Media + Reels + Lead Generation",IF(B58="Hotel / Resort","Social Media + Reels + Ads",IF(B58="Healthcare / Clinic","Social Media + Branding + Lead Generation","Social Media + Reels + Lead Generation + Website")))</x:f>
        <x:v>Social Media + Branding + Lead Generation</x:v>
      </x:c>
      <x:c r="L58" s="26" t="str">
        <x:v>Not Contacted</x:v>
      </x:c>
      <x:c r="M58" s="26" t="str">
        <x:v>Public business listing; verify before outreach.</x:v>
      </x:c>
    </x:row>
    <x:row r="59">
      <x:c r="A59" s="26" t="str">
        <x:v>Akels Gen Medical Clinic, Dr</x:v>
      </x:c>
      <x:c r="B59" s="26" t="str">
        <x:v>Healthcare / Clinic</x:v>
      </x:c>
      <x:c r="C59" s="26" t="str">
        <x:v>Dubai</x:v>
      </x:c>
      <x:c r="D59" s="26" t="str">
        <x:v>Jumeirah</x:v>
      </x:c>
      <x:c r="E59" s="26" t="str">
        <x:v>+97143442773</x:v>
      </x:c>
      <x:c r="F59" s="26" t="str"/>
      <x:c r="G59" s="26" t="str">
        <x:v>http://www.groupgmc.com</x:v>
      </x:c>
      <x:c r="H59" s="26" t="str">
        <x:v>https://dcciinfo.com/uae/dubai/clinics/12619</x:v>
      </x:c>
      <x:c r="I59" s="26" t="n">
        <x:f>IF(E59&lt;&gt;"",35,0)+IF(F59&lt;&gt;"",25,0)+IF(G59&lt;&gt;"",20,0)+IF(D59&lt;&gt;"",10,0)+10</x:f>
        <x:v>75</x:v>
      </x:c>
      <x:c r="J59" s="26" t="str">
        <x:f>IF(I59&gt;=75,"Hot",IF(I59&gt;=50,"Warm","Cold"))</x:f>
        <x:v>Hot</x:v>
      </x:c>
      <x:c r="K59" s="26" t="str">
        <x:f>IF(B59="Travel &amp; Tourism","Social Media + Reels + Lead Generation",IF(B59="Hotel / Resort","Social Media + Reels + Ads",IF(B59="Healthcare / Clinic","Social Media + Branding + Lead Generation","Social Media + Reels + Lead Generation + Website")))</x:f>
        <x:v>Social Media + Branding + Lead Generation</x:v>
      </x:c>
      <x:c r="L59" s="26" t="str">
        <x:v>Not Contacted</x:v>
      </x:c>
      <x:c r="M59" s="26" t="str">
        <x:v>Public business listing; verify before outreach.</x:v>
      </x:c>
    </x:row>
    <x:row r="60">
      <x:c r="A60" s="26" t="str">
        <x:v>Akram Khatib Clinic, Dr</x:v>
      </x:c>
      <x:c r="B60" s="26" t="str">
        <x:v>Healthcare / Clinic</x:v>
      </x:c>
      <x:c r="C60" s="26" t="str">
        <x:v>Dubai</x:v>
      </x:c>
      <x:c r="D60" s="26" t="str">
        <x:v>Deira</x:v>
      </x:c>
      <x:c r="E60" s="26" t="str">
        <x:v>+97142624151</x:v>
      </x:c>
      <x:c r="F60" s="26" t="str"/>
      <x:c r="G60" s="26" t="str"/>
      <x:c r="H60" s="26" t="str">
        <x:v>https://dcciinfo.com/uae/dubai/clinics/12619</x:v>
      </x:c>
      <x:c r="I60" s="26" t="n">
        <x:f>IF(E60&lt;&gt;"",35,0)+IF(F60&lt;&gt;"",25,0)+IF(G60&lt;&gt;"",20,0)+IF(D60&lt;&gt;"",10,0)+10</x:f>
        <x:v>55</x:v>
      </x:c>
      <x:c r="J60" s="26" t="str">
        <x:f>IF(I60&gt;=75,"Hot",IF(I60&gt;=50,"Warm","Cold"))</x:f>
        <x:v>Warm</x:v>
      </x:c>
      <x:c r="K60" s="26" t="str">
        <x:f>IF(B60="Travel &amp; Tourism","Social Media + Reels + Lead Generation",IF(B60="Hotel / Resort","Social Media + Reels + Ads",IF(B60="Healthcare / Clinic","Social Media + Branding + Lead Generation","Social Media + Reels + Lead Generation + Website")))</x:f>
        <x:v>Social Media + Branding + Lead Generation</x:v>
      </x:c>
      <x:c r="L60" s="26" t="str">
        <x:v>Not Contacted</x:v>
      </x:c>
      <x:c r="M60" s="26" t="str">
        <x:v>Public business listing; verify before outreach.</x:v>
      </x:c>
    </x:row>
    <x:row r="61">
      <x:c r="A61" s="26" t="str">
        <x:v>Al Abeer Poly Clinic</x:v>
      </x:c>
      <x:c r="B61" s="26" t="str">
        <x:v>Healthcare / Clinic</x:v>
      </x:c>
      <x:c r="C61" s="26" t="str">
        <x:v>Dubai</x:v>
      </x:c>
      <x:c r="D61" s="26" t="str">
        <x:v>Doha</x:v>
      </x:c>
      <x:c r="E61" s="26" t="str">
        <x:v>+97142612248</x:v>
      </x:c>
      <x:c r="F61" s="26" t="str"/>
      <x:c r="G61" s="26" t="str">
        <x:v>http://www.alnoorclinics.com</x:v>
      </x:c>
      <x:c r="H61" s="26" t="str">
        <x:v>https://dcciinfo.com/uae/dubai/clinics/12619</x:v>
      </x:c>
      <x:c r="I61" s="26" t="n">
        <x:f>IF(E61&lt;&gt;"",35,0)+IF(F61&lt;&gt;"",25,0)+IF(G61&lt;&gt;"",20,0)+IF(D61&lt;&gt;"",10,0)+10</x:f>
        <x:v>75</x:v>
      </x:c>
      <x:c r="J61" s="26" t="str">
        <x:f>IF(I61&gt;=75,"Hot",IF(I61&gt;=50,"Warm","Cold"))</x:f>
        <x:v>Hot</x:v>
      </x:c>
      <x:c r="K61" s="26" t="str">
        <x:f>IF(B61="Travel &amp; Tourism","Social Media + Reels + Lead Generation",IF(B61="Hotel / Resort","Social Media + Reels + Ads",IF(B61="Healthcare / Clinic","Social Media + Branding + Lead Generation","Social Media + Reels + Lead Generation + Website")))</x:f>
        <x:v>Social Media + Branding + Lead Generation</x:v>
      </x:c>
      <x:c r="L61" s="26" t="str">
        <x:v>Not Contacted</x:v>
      </x:c>
      <x:c r="M61" s="26" t="str">
        <x:v>Public business listing; verify before outreach.</x:v>
      </x:c>
    </x:row>
    <x:row r="62">
      <x:c r="A62" s="26" t="str">
        <x:v>24 GOLD HOTEL L.L.C</x:v>
      </x:c>
      <x:c r="B62" s="26" t="str">
        <x:v>Hotel / Resort</x:v>
      </x:c>
      <x:c r="C62" s="26" t="str">
        <x:v>Dubai</x:v>
      </x:c>
      <x:c r="D62" s="26" t="str"/>
      <x:c r="E62" s="26" t="str">
        <x:v>+97142269885</x:v>
      </x:c>
      <x:c r="F62" s="26" t="str"/>
      <x:c r="G62" s="26" t="str"/>
      <x:c r="H62" s="26" t="str">
        <x:v>https://dcciinfo.com/uae/dubai/hotel/7460</x:v>
      </x:c>
      <x:c r="I62" s="26" t="n">
        <x:f>IF(E62&lt;&gt;"",35,0)+IF(F62&lt;&gt;"",25,0)+IF(G62&lt;&gt;"",20,0)+IF(D62&lt;&gt;"",10,0)+10</x:f>
        <x:v>45</x:v>
      </x:c>
      <x:c r="J62" s="26" t="str">
        <x:f>IF(I62&gt;=75,"Hot",IF(I62&gt;=50,"Warm","Cold"))</x:f>
        <x:v>Cold</x:v>
      </x:c>
      <x:c r="K62" s="26" t="str">
        <x:f>IF(B62="Travel &amp; Tourism","Social Media + Reels + Lead Generation",IF(B62="Hotel / Resort","Social Media + Reels + Ads",IF(B62="Healthcare / Clinic","Social Media + Branding + Lead Generation","Social Media + Reels + Lead Generation + Website")))</x:f>
        <x:v>Social Media + Reels + Ads</x:v>
      </x:c>
      <x:c r="L62" s="26" t="str">
        <x:v>Not Contacted</x:v>
      </x:c>
      <x:c r="M62" s="26" t="str">
        <x:v>Public business listing; verify before outreach.</x:v>
      </x:c>
    </x:row>
    <x:row r="63">
      <x:c r="A63" s="26" t="str">
        <x:v>ABJAD GRAND HOTEL L.L.C</x:v>
      </x:c>
      <x:c r="B63" s="26" t="str">
        <x:v>Hotel / Resort</x:v>
      </x:c>
      <x:c r="C63" s="26" t="str">
        <x:v>Dubai</x:v>
      </x:c>
      <x:c r="D63" s="26" t="str"/>
      <x:c r="E63" s="26" t="str">
        <x:v>+97142710021</x:v>
      </x:c>
      <x:c r="F63" s="26" t="str"/>
      <x:c r="G63" s="26" t="str"/>
      <x:c r="H63" s="26" t="str">
        <x:v>https://dcciinfo.com/uae/dubai/hotel/7460</x:v>
      </x:c>
      <x:c r="I63" s="26" t="n">
        <x:f>IF(E63&lt;&gt;"",35,0)+IF(F63&lt;&gt;"",25,0)+IF(G63&lt;&gt;"",20,0)+IF(D63&lt;&gt;"",10,0)+10</x:f>
        <x:v>45</x:v>
      </x:c>
      <x:c r="J63" s="26" t="str">
        <x:f>IF(I63&gt;=75,"Hot",IF(I63&gt;=50,"Warm","Cold"))</x:f>
        <x:v>Cold</x:v>
      </x:c>
      <x:c r="K63" s="26" t="str">
        <x:f>IF(B63="Travel &amp; Tourism","Social Media + Reels + Lead Generation",IF(B63="Hotel / Resort","Social Media + Reels + Ads",IF(B63="Healthcare / Clinic","Social Media + Branding + Lead Generation","Social Media + Reels + Lead Generation + Website")))</x:f>
        <x:v>Social Media + Reels + Ads</x:v>
      </x:c>
      <x:c r="L63" s="26" t="str">
        <x:v>Not Contacted</x:v>
      </x:c>
      <x:c r="M63" s="26" t="str">
        <x:v>Public business listing; verify before outreach.</x:v>
      </x:c>
    </x:row>
    <x:row r="64">
      <x:c r="A64" s="26" t="str">
        <x:v>Abjar Grand Hotel (Formerly Ramada Continental Hotel)</x:v>
      </x:c>
      <x:c r="B64" s="26" t="str">
        <x:v>Hotel / Resort</x:v>
      </x:c>
      <x:c r="C64" s="26" t="str">
        <x:v>Dubai</x:v>
      </x:c>
      <x:c r="D64" s="26" t="str">
        <x:v>Hor Al Anz</x:v>
      </x:c>
      <x:c r="E64" s="26" t="str">
        <x:v>+97142662666</x:v>
      </x:c>
      <x:c r="F64" s="26" t="str"/>
      <x:c r="G64" s="26" t="str">
        <x:v>http://www.abjargrandhotel.com</x:v>
      </x:c>
      <x:c r="H64" s="26" t="str">
        <x:v>https://dcciinfo.com/uae/dubai/hotel/7460</x:v>
      </x:c>
      <x:c r="I64" s="26" t="n">
        <x:f>IF(E64&lt;&gt;"",35,0)+IF(F64&lt;&gt;"",25,0)+IF(G64&lt;&gt;"",20,0)+IF(D64&lt;&gt;"",10,0)+10</x:f>
        <x:v>75</x:v>
      </x:c>
      <x:c r="J64" s="26" t="str">
        <x:f>IF(I64&gt;=75,"Hot",IF(I64&gt;=50,"Warm","Cold"))</x:f>
        <x:v>Hot</x:v>
      </x:c>
      <x:c r="K64" s="26" t="str">
        <x:f>IF(B64="Travel &amp; Tourism","Social Media + Reels + Lead Generation",IF(B64="Hotel / Resort","Social Media + Reels + Ads",IF(B64="Healthcare / Clinic","Social Media + Branding + Lead Generation","Social Media + Reels + Lead Generation + Website")))</x:f>
        <x:v>Social Media + Reels + Ads</x:v>
      </x:c>
      <x:c r="L64" s="26" t="str">
        <x:v>Not Contacted</x:v>
      </x:c>
      <x:c r="M64" s="26" t="str">
        <x:v>Public business listing; verify before outreach.</x:v>
      </x:c>
    </x:row>
    <x:row r="65">
      <x:c r="A65" s="26" t="str">
        <x:v>Admiral Plaza Hotel</x:v>
      </x:c>
      <x:c r="B65" s="26" t="str">
        <x:v>Hotel / Resort</x:v>
      </x:c>
      <x:c r="C65" s="26" t="str">
        <x:v>Dubai</x:v>
      </x:c>
      <x:c r="D65" s="26" t="str">
        <x:v>Bur Dubai</x:v>
      </x:c>
      <x:c r="E65" s="26" t="str">
        <x:v>+97143935333</x:v>
      </x:c>
      <x:c r="F65" s="26" t="str"/>
      <x:c r="G65" s="26" t="str">
        <x:v>http://www.admiralplazahotel.com</x:v>
      </x:c>
      <x:c r="H65" s="26" t="str">
        <x:v>https://dcciinfo.com/uae/dubai/hotel/7460</x:v>
      </x:c>
      <x:c r="I65" s="26" t="n">
        <x:f>IF(E65&lt;&gt;"",35,0)+IF(F65&lt;&gt;"",25,0)+IF(G65&lt;&gt;"",20,0)+IF(D65&lt;&gt;"",10,0)+10</x:f>
        <x:v>75</x:v>
      </x:c>
      <x:c r="J65" s="26" t="str">
        <x:f>IF(I65&gt;=75,"Hot",IF(I65&gt;=50,"Warm","Cold"))</x:f>
        <x:v>Hot</x:v>
      </x:c>
      <x:c r="K65" s="26" t="str">
        <x:f>IF(B65="Travel &amp; Tourism","Social Media + Reels + Lead Generation",IF(B65="Hotel / Resort","Social Media + Reels + Ads",IF(B65="Healthcare / Clinic","Social Media + Branding + Lead Generation","Social Media + Reels + Lead Generation + Website")))</x:f>
        <x:v>Social Media + Reels + Ads</x:v>
      </x:c>
      <x:c r="L65" s="26" t="str">
        <x:v>Not Contacted</x:v>
      </x:c>
      <x:c r="M65" s="26" t="str">
        <x:v>Public business listing; verify before outreach.</x:v>
      </x:c>
    </x:row>
    <x:row r="66">
      <x:c r="A66" s="26" t="str">
        <x:v>ADMIRAL PLAZA HOTEL L.L.C</x:v>
      </x:c>
      <x:c r="B66" s="26" t="str">
        <x:v>Hotel / Resort</x:v>
      </x:c>
      <x:c r="C66" s="26" t="str">
        <x:v>Dubai</x:v>
      </x:c>
      <x:c r="D66" s="26" t="str"/>
      <x:c r="E66" s="26" t="str">
        <x:v>+97146456889</x:v>
      </x:c>
      <x:c r="F66" s="26" t="str"/>
      <x:c r="G66" s="26" t="str">
        <x:v>http://www.admiralplazahotel.com</x:v>
      </x:c>
      <x:c r="H66" s="26" t="str">
        <x:v>https://dcciinfo.com/uae/dubai/hotel/7460</x:v>
      </x:c>
      <x:c r="I66" s="26" t="n">
        <x:f>IF(E66&lt;&gt;"",35,0)+IF(F66&lt;&gt;"",25,0)+IF(G66&lt;&gt;"",20,0)+IF(D66&lt;&gt;"",10,0)+10</x:f>
        <x:v>65</x:v>
      </x:c>
      <x:c r="J66" s="26" t="str">
        <x:f>IF(I66&gt;=75,"Hot",IF(I66&gt;=50,"Warm","Cold"))</x:f>
        <x:v>Warm</x:v>
      </x:c>
      <x:c r="K66" s="26" t="str">
        <x:f>IF(B66="Travel &amp; Tourism","Social Media + Reels + Lead Generation",IF(B66="Hotel / Resort","Social Media + Reels + Ads",IF(B66="Healthcare / Clinic","Social Media + Branding + Lead Generation","Social Media + Reels + Lead Generation + Website")))</x:f>
        <x:v>Social Media + Reels + Ads</x:v>
      </x:c>
      <x:c r="L66" s="26" t="str">
        <x:v>Not Contacted</x:v>
      </x:c>
      <x:c r="M66" s="26" t="str">
        <x:v>Public business listing; verify before outreach.</x:v>
      </x:c>
    </x:row>
    <x:row r="67">
      <x:c r="A67" s="26" t="str">
        <x:v>Al Ahrar Hotel</x:v>
      </x:c>
      <x:c r="B67" s="26" t="str">
        <x:v>Hotel / Resort</x:v>
      </x:c>
      <x:c r="C67" s="26" t="str">
        <x:v>Dubai</x:v>
      </x:c>
      <x:c r="D67" s="26" t="str">
        <x:v>Deira</x:v>
      </x:c>
      <x:c r="E67" s="26" t="str">
        <x:v>+97142724000</x:v>
      </x:c>
      <x:c r="F67" s="26" t="str"/>
      <x:c r="G67" s="26" t="str">
        <x:v>http://www.alahrarhotel.com</x:v>
      </x:c>
      <x:c r="H67" s="26" t="str">
        <x:v>https://dcciinfo.com/uae/dubai/hotel/7460</x:v>
      </x:c>
      <x:c r="I67" s="26" t="n">
        <x:f>IF(E67&lt;&gt;"",35,0)+IF(F67&lt;&gt;"",25,0)+IF(G67&lt;&gt;"",20,0)+IF(D67&lt;&gt;"",10,0)+10</x:f>
        <x:v>75</x:v>
      </x:c>
      <x:c r="J67" s="26" t="str">
        <x:f>IF(I67&gt;=75,"Hot",IF(I67&gt;=50,"Warm","Cold"))</x:f>
        <x:v>Hot</x:v>
      </x:c>
      <x:c r="K67" s="26" t="str">
        <x:f>IF(B67="Travel &amp; Tourism","Social Media + Reels + Lead Generation",IF(B67="Hotel / Resort","Social Media + Reels + Ads",IF(B67="Healthcare / Clinic","Social Media + Branding + Lead Generation","Social Media + Reels + Lead Generation + Website")))</x:f>
        <x:v>Social Media + Reels + Ads</x:v>
      </x:c>
      <x:c r="L67" s="26" t="str">
        <x:v>Not Contacted</x:v>
      </x:c>
      <x:c r="M67" s="26" t="str">
        <x:v>Public business listing; verify before outreach.</x:v>
      </x:c>
    </x:row>
    <x:row r="68">
      <x:c r="A68" s="26" t="str">
        <x:v>Al Akhlas Hotel</x:v>
      </x:c>
      <x:c r="B68" s="26" t="str">
        <x:v>Hotel / Resort</x:v>
      </x:c>
      <x:c r="C68" s="26" t="str">
        <x:v>Dubai</x:v>
      </x:c>
      <x:c r="D68" s="26" t="str">
        <x:v>Deira</x:v>
      </x:c>
      <x:c r="E68" s="26" t="str">
        <x:v>+97142269885</x:v>
      </x:c>
      <x:c r="F68" s="26" t="str"/>
      <x:c r="G68" s="26" t="str"/>
      <x:c r="H68" s="26" t="str">
        <x:v>https://dcciinfo.com/uae/dubai/hotel/7460</x:v>
      </x:c>
      <x:c r="I68" s="26" t="n">
        <x:f>IF(E68&lt;&gt;"",35,0)+IF(F68&lt;&gt;"",25,0)+IF(G68&lt;&gt;"",20,0)+IF(D68&lt;&gt;"",10,0)+10</x:f>
        <x:v>55</x:v>
      </x:c>
      <x:c r="J68" s="26" t="str">
        <x:f>IF(I68&gt;=75,"Hot",IF(I68&gt;=50,"Warm","Cold"))</x:f>
        <x:v>Warm</x:v>
      </x:c>
      <x:c r="K68" s="26" t="str">
        <x:f>IF(B68="Travel &amp; Tourism","Social Media + Reels + Lead Generation",IF(B68="Hotel / Resort","Social Media + Reels + Ads",IF(B68="Healthcare / Clinic","Social Media + Branding + Lead Generation","Social Media + Reels + Lead Generation + Website")))</x:f>
        <x:v>Social Media + Reels + Ads</x:v>
      </x:c>
      <x:c r="L68" s="26" t="str">
        <x:v>Not Contacted</x:v>
      </x:c>
      <x:c r="M68" s="26" t="str">
        <x:v>Public business listing; verify before outreach.</x:v>
      </x:c>
    </x:row>
    <x:row r="69">
      <x:c r="A69" s="26" t="str">
        <x:v>AL AMANA HOTEL</x:v>
      </x:c>
      <x:c r="B69" s="26" t="str">
        <x:v>Hotel / Resort</x:v>
      </x:c>
      <x:c r="C69" s="26" t="str">
        <x:v>Dubai</x:v>
      </x:c>
      <x:c r="D69" s="26" t="str"/>
      <x:c r="E69" s="26" t="str">
        <x:v>+97142546135</x:v>
      </x:c>
      <x:c r="F69" s="26" t="str"/>
      <x:c r="G69" s="26" t="str"/>
      <x:c r="H69" s="26" t="str">
        <x:v>https://dcciinfo.com/uae/dubai/hotel/7460</x:v>
      </x:c>
      <x:c r="I69" s="26" t="n">
        <x:f>IF(E69&lt;&gt;"",35,0)+IF(F69&lt;&gt;"",25,0)+IF(G69&lt;&gt;"",20,0)+IF(D69&lt;&gt;"",10,0)+10</x:f>
        <x:v>45</x:v>
      </x:c>
      <x:c r="J69" s="26" t="str">
        <x:f>IF(I69&gt;=75,"Hot",IF(I69&gt;=50,"Warm","Cold"))</x:f>
        <x:v>Cold</x:v>
      </x:c>
      <x:c r="K69" s="26" t="str">
        <x:f>IF(B69="Travel &amp; Tourism","Social Media + Reels + Lead Generation",IF(B69="Hotel / Resort","Social Media + Reels + Ads",IF(B69="Healthcare / Clinic","Social Media + Branding + Lead Generation","Social Media + Reels + Lead Generation + Website")))</x:f>
        <x:v>Social Media + Reels + Ads</x:v>
      </x:c>
      <x:c r="L69" s="26" t="str">
        <x:v>Not Contacted</x:v>
      </x:c>
      <x:c r="M69" s="26" t="str">
        <x:v>Public business listing; verify before outreach.</x:v>
      </x:c>
    </x:row>
    <x:row r="70">
      <x:c r="A70" s="26" t="str">
        <x:v>Al Andalus Hotel</x:v>
      </x:c>
      <x:c r="B70" s="26" t="str">
        <x:v>Hotel / Resort</x:v>
      </x:c>
      <x:c r="C70" s="26" t="str">
        <x:v>Dubai</x:v>
      </x:c>
      <x:c r="D70" s="26" t="str">
        <x:v>Deira</x:v>
      </x:c>
      <x:c r="E70" s="26" t="str">
        <x:v>+97142722113</x:v>
      </x:c>
      <x:c r="F70" s="26" t="str"/>
      <x:c r="G70" s="26" t="str"/>
      <x:c r="H70" s="26" t="str">
        <x:v>https://dcciinfo.com/uae/dubai/hotel/7460</x:v>
      </x:c>
      <x:c r="I70" s="26" t="n">
        <x:f>IF(E70&lt;&gt;"",35,0)+IF(F70&lt;&gt;"",25,0)+IF(G70&lt;&gt;"",20,0)+IF(D70&lt;&gt;"",10,0)+10</x:f>
        <x:v>55</x:v>
      </x:c>
      <x:c r="J70" s="26" t="str">
        <x:f>IF(I70&gt;=75,"Hot",IF(I70&gt;=50,"Warm","Cold"))</x:f>
        <x:v>Warm</x:v>
      </x:c>
      <x:c r="K70" s="26" t="str">
        <x:f>IF(B70="Travel &amp; Tourism","Social Media + Reels + Lead Generation",IF(B70="Hotel / Resort","Social Media + Reels + Ads",IF(B70="Healthcare / Clinic","Social Media + Branding + Lead Generation","Social Media + Reels + Lead Generation + Website")))</x:f>
        <x:v>Social Media + Reels + Ads</x:v>
      </x:c>
      <x:c r="L70" s="26" t="str">
        <x:v>Not Contacted</x:v>
      </x:c>
      <x:c r="M70" s="26" t="str">
        <x:v>Public business listing; verify before outreach.</x:v>
      </x:c>
    </x:row>
    <x:row r="71">
      <x:c r="A71" s="26" t="str">
        <x:v>Al Futtaim Private Company (L.L.C)</x:v>
      </x:c>
      <x:c r="B71" s="26" t="str">
        <x:v>Hotel / Resort</x:v>
      </x:c>
      <x:c r="C71" s="26" t="str">
        <x:v>Dubai</x:v>
      </x:c>
      <x:c r="D71" s="26" t="str"/>
      <x:c r="E71" s="26" t="str">
        <x:v>+97142177777</x:v>
      </x:c>
      <x:c r="F71" s="26" t="str"/>
      <x:c r="G71" s="26" t="str">
        <x:v>http://www.al-futtaim.com</x:v>
      </x:c>
      <x:c r="H71" s="26" t="str">
        <x:v>https://dcciinfo.com/uae/dubai/hotel/7460</x:v>
      </x:c>
      <x:c r="I71" s="26" t="n">
        <x:f>IF(E71&lt;&gt;"",35,0)+IF(F71&lt;&gt;"",25,0)+IF(G71&lt;&gt;"",20,0)+IF(D71&lt;&gt;"",10,0)+10</x:f>
        <x:v>65</x:v>
      </x:c>
      <x:c r="J71" s="26" t="str">
        <x:f>IF(I71&gt;=75,"Hot",IF(I71&gt;=50,"Warm","Cold"))</x:f>
        <x:v>Warm</x:v>
      </x:c>
      <x:c r="K71" s="26" t="str">
        <x:f>IF(B71="Travel &amp; Tourism","Social Media + Reels + Lead Generation",IF(B71="Hotel / Resort","Social Media + Reels + Ads",IF(B71="Healthcare / Clinic","Social Media + Branding + Lead Generation","Social Media + Reels + Lead Generation + Website")))</x:f>
        <x:v>Social Media + Reels + Ads</x:v>
      </x:c>
      <x:c r="L71" s="26" t="str">
        <x:v>Not Contacted</x:v>
      </x:c>
      <x:c r="M71" s="26" t="str">
        <x:v>Public business listing; verify before outreach.</x:v>
      </x:c>
    </x:row>
    <x:row r="72">
      <x:c r="A72" s="26" t="str">
        <x:v>Al Hashemi Hotel</x:v>
      </x:c>
      <x:c r="B72" s="26" t="str">
        <x:v>Hotel / Resort</x:v>
      </x:c>
      <x:c r="C72" s="26" t="str">
        <x:v>Dubai</x:v>
      </x:c>
      <x:c r="D72" s="26" t="str">
        <x:v>Deira</x:v>
      </x:c>
      <x:c r="E72" s="26" t="str">
        <x:v>+97142233333</x:v>
      </x:c>
      <x:c r="F72" s="26" t="str"/>
      <x:c r="G72" s="26" t="str"/>
      <x:c r="H72" s="26" t="str">
        <x:v>https://dcciinfo.com/uae/dubai/hotel/7460</x:v>
      </x:c>
      <x:c r="I72" s="26" t="n">
        <x:f>IF(E72&lt;&gt;"",35,0)+IF(F72&lt;&gt;"",25,0)+IF(G72&lt;&gt;"",20,0)+IF(D72&lt;&gt;"",10,0)+10</x:f>
        <x:v>55</x:v>
      </x:c>
      <x:c r="J72" s="26" t="str">
        <x:f>IF(I72&gt;=75,"Hot",IF(I72&gt;=50,"Warm","Cold"))</x:f>
        <x:v>Warm</x:v>
      </x:c>
      <x:c r="K72" s="26" t="str">
        <x:f>IF(B72="Travel &amp; Tourism","Social Media + Reels + Lead Generation",IF(B72="Hotel / Resort","Social Media + Reels + Ads",IF(B72="Healthcare / Clinic","Social Media + Branding + Lead Generation","Social Media + Reels + Lead Generation + Website")))</x:f>
        <x:v>Social Media + Reels + Ads</x:v>
      </x:c>
      <x:c r="L72" s="26" t="str">
        <x:v>Not Contacted</x:v>
      </x:c>
      <x:c r="M72" s="26" t="str">
        <x:v>Public business listing; verify before outreach.</x:v>
      </x:c>
    </x:row>
    <x:row r="73">
      <x:c r="A73" s="26" t="str">
        <x:v>Al Jazeera Hotel</x:v>
      </x:c>
      <x:c r="B73" s="26" t="str">
        <x:v>Hotel / Resort</x:v>
      </x:c>
      <x:c r="C73" s="26" t="str">
        <x:v>Dubai</x:v>
      </x:c>
      <x:c r="D73" s="26" t="str">
        <x:v>Deira</x:v>
      </x:c>
      <x:c r="E73" s="26" t="str">
        <x:v>+97142262322</x:v>
      </x:c>
      <x:c r="F73" s="26" t="str"/>
      <x:c r="G73" s="26" t="str"/>
      <x:c r="H73" s="26" t="str">
        <x:v>https://dcciinfo.com/uae/dubai/hotel/7460</x:v>
      </x:c>
      <x:c r="I73" s="26" t="n">
        <x:f>IF(E73&lt;&gt;"",35,0)+IF(F73&lt;&gt;"",25,0)+IF(G73&lt;&gt;"",20,0)+IF(D73&lt;&gt;"",10,0)+10</x:f>
        <x:v>55</x:v>
      </x:c>
      <x:c r="J73" s="26" t="str">
        <x:f>IF(I73&gt;=75,"Hot",IF(I73&gt;=50,"Warm","Cold"))</x:f>
        <x:v>Warm</x:v>
      </x:c>
      <x:c r="K73" s="26" t="str">
        <x:f>IF(B73="Travel &amp; Tourism","Social Media + Reels + Lead Generation",IF(B73="Hotel / Resort","Social Media + Reels + Ads",IF(B73="Healthcare / Clinic","Social Media + Branding + Lead Generation","Social Media + Reels + Lead Generation + Website")))</x:f>
        <x:v>Social Media + Reels + Ads</x:v>
      </x:c>
      <x:c r="L73" s="26" t="str">
        <x:v>Not Contacted</x:v>
      </x:c>
      <x:c r="M73" s="26" t="str">
        <x:v>Public business listing; verify before outreach.</x:v>
      </x:c>
    </x:row>
    <x:row r="74">
      <x:c r="A74" s="26" t="str">
        <x:v>Al Karnak Hotel</x:v>
      </x:c>
      <x:c r="B74" s="26" t="str">
        <x:v>Hotel / Resort</x:v>
      </x:c>
      <x:c r="C74" s="26" t="str">
        <x:v>Dubai</x:v>
      </x:c>
      <x:c r="D74" s="26" t="str">
        <x:v>Deira</x:v>
      </x:c>
      <x:c r="E74" s="26" t="str">
        <x:v>+97142268799</x:v>
      </x:c>
      <x:c r="F74" s="26" t="str"/>
      <x:c r="G74" s="26" t="str"/>
      <x:c r="H74" s="26" t="str">
        <x:v>https://dcciinfo.com/uae/dubai/hotel/7460</x:v>
      </x:c>
      <x:c r="I74" s="26" t="n">
        <x:f>IF(E74&lt;&gt;"",35,0)+IF(F74&lt;&gt;"",25,0)+IF(G74&lt;&gt;"",20,0)+IF(D74&lt;&gt;"",10,0)+10</x:f>
        <x:v>55</x:v>
      </x:c>
      <x:c r="J74" s="26" t="str">
        <x:f>IF(I74&gt;=75,"Hot",IF(I74&gt;=50,"Warm","Cold"))</x:f>
        <x:v>Warm</x:v>
      </x:c>
      <x:c r="K74" s="26" t="str">
        <x:f>IF(B74="Travel &amp; Tourism","Social Media + Reels + Lead Generation",IF(B74="Hotel / Resort","Social Media + Reels + Ads",IF(B74="Healthcare / Clinic","Social Media + Branding + Lead Generation","Social Media + Reels + Lead Generation + Website")))</x:f>
        <x:v>Social Media + Reels + Ads</x:v>
      </x:c>
      <x:c r="L74" s="26" t="str">
        <x:v>Not Contacted</x:v>
      </x:c>
      <x:c r="M74" s="26" t="str">
        <x:v>Public business listing; verify before outreach.</x:v>
      </x:c>
    </x:row>
    <x:row r="75">
      <x:c r="A75" s="26" t="str">
        <x:v>AL KARNAK HOTEL L.L.C</x:v>
      </x:c>
      <x:c r="B75" s="26" t="str">
        <x:v>Hotel / Resort</x:v>
      </x:c>
      <x:c r="C75" s="26" t="str">
        <x:v>Dubai</x:v>
      </x:c>
      <x:c r="D75" s="26" t="str"/>
      <x:c r="E75" s="26" t="str">
        <x:v>+97146240746</x:v>
      </x:c>
      <x:c r="F75" s="26" t="str"/>
      <x:c r="G75" s="26" t="str"/>
      <x:c r="H75" s="26" t="str">
        <x:v>https://dcciinfo.com/uae/dubai/hotel/7460</x:v>
      </x:c>
      <x:c r="I75" s="26" t="n">
        <x:f>IF(E75&lt;&gt;"",35,0)+IF(F75&lt;&gt;"",25,0)+IF(G75&lt;&gt;"",20,0)+IF(D75&lt;&gt;"",10,0)+10</x:f>
        <x:v>45</x:v>
      </x:c>
      <x:c r="J75" s="26" t="str">
        <x:f>IF(I75&gt;=75,"Hot",IF(I75&gt;=50,"Warm","Cold"))</x:f>
        <x:v>Cold</x:v>
      </x:c>
      <x:c r="K75" s="26" t="str">
        <x:f>IF(B75="Travel &amp; Tourism","Social Media + Reels + Lead Generation",IF(B75="Hotel / Resort","Social Media + Reels + Ads",IF(B75="Healthcare / Clinic","Social Media + Branding + Lead Generation","Social Media + Reels + Lead Generation + Website")))</x:f>
        <x:v>Social Media + Reels + Ads</x:v>
      </x:c>
      <x:c r="L75" s="26" t="str">
        <x:v>Not Contacted</x:v>
      </x:c>
      <x:c r="M75" s="26" t="str">
        <x:v>Public business listing; verify before outreach.</x:v>
      </x:c>
    </x:row>
    <x:row r="76">
      <x:c r="A76" s="26" t="str">
        <x:v>Al Khaima Hotel</x:v>
      </x:c>
      <x:c r="B76" s="26" t="str">
        <x:v>Hotel / Resort</x:v>
      </x:c>
      <x:c r="C76" s="26" t="str">
        <x:v>Dubai</x:v>
      </x:c>
      <x:c r="D76" s="26" t="str">
        <x:v>Deira</x:v>
      </x:c>
      <x:c r="E76" s="26" t="str">
        <x:v>+97142260585</x:v>
      </x:c>
      <x:c r="F76" s="26" t="str"/>
      <x:c r="G76" s="26" t="str"/>
      <x:c r="H76" s="26" t="str">
        <x:v>https://dcciinfo.com/uae/dubai/hotel/7460</x:v>
      </x:c>
      <x:c r="I76" s="26" t="n">
        <x:f>IF(E76&lt;&gt;"",35,0)+IF(F76&lt;&gt;"",25,0)+IF(G76&lt;&gt;"",20,0)+IF(D76&lt;&gt;"",10,0)+10</x:f>
        <x:v>55</x:v>
      </x:c>
      <x:c r="J76" s="26" t="str">
        <x:f>IF(I76&gt;=75,"Hot",IF(I76&gt;=50,"Warm","Cold"))</x:f>
        <x:v>Warm</x:v>
      </x:c>
      <x:c r="K76" s="26" t="str">
        <x:f>IF(B76="Travel &amp; Tourism","Social Media + Reels + Lead Generation",IF(B76="Hotel / Resort","Social Media + Reels + Ads",IF(B76="Healthcare / Clinic","Social Media + Branding + Lead Generation","Social Media + Reels + Lead Generation + Website")))</x:f>
        <x:v>Social Media + Reels + Ads</x:v>
      </x:c>
      <x:c r="L76" s="26" t="str">
        <x:v>Not Contacted</x:v>
      </x:c>
      <x:c r="M76" s="26" t="str">
        <x:v>Public business listing; verify before outreach.</x:v>
      </x:c>
    </x:row>
    <x:row r="77">
      <x:c r="A77" s="26" t="str">
        <x:v>Al Khaleej Hotel</x:v>
      </x:c>
      <x:c r="B77" s="26" t="str">
        <x:v>Hotel / Resort</x:v>
      </x:c>
      <x:c r="C77" s="26" t="str">
        <x:v>Dubai</x:v>
      </x:c>
      <x:c r="D77" s="26" t="str">
        <x:v>Al Nasser Square</x:v>
      </x:c>
      <x:c r="E77" s="26" t="str">
        <x:v>+97142211144</x:v>
      </x:c>
      <x:c r="F77" s="26" t="str"/>
      <x:c r="G77" s="26" t="str">
        <x:v>http://www.alkhaleejhotel.ae</x:v>
      </x:c>
      <x:c r="H77" s="26" t="str">
        <x:v>https://dcciinfo.com/uae/dubai/hotel/7460</x:v>
      </x:c>
      <x:c r="I77" s="26" t="n">
        <x:f>IF(E77&lt;&gt;"",35,0)+IF(F77&lt;&gt;"",25,0)+IF(G77&lt;&gt;"",20,0)+IF(D77&lt;&gt;"",10,0)+10</x:f>
        <x:v>75</x:v>
      </x:c>
      <x:c r="J77" s="26" t="str">
        <x:f>IF(I77&gt;=75,"Hot",IF(I77&gt;=50,"Warm","Cold"))</x:f>
        <x:v>Hot</x:v>
      </x:c>
      <x:c r="K77" s="26" t="str">
        <x:f>IF(B77="Travel &amp; Tourism","Social Media + Reels + Lead Generation",IF(B77="Hotel / Resort","Social Media + Reels + Ads",IF(B77="Healthcare / Clinic","Social Media + Branding + Lead Generation","Social Media + Reels + Lead Generation + Website")))</x:f>
        <x:v>Social Media + Reels + Ads</x:v>
      </x:c>
      <x:c r="L77" s="26" t="str">
        <x:v>Not Contacted</x:v>
      </x:c>
      <x:c r="M77" s="26" t="str">
        <x:v>Public business listing; verify before outreach.</x:v>
      </x:c>
    </x:row>
    <x:row r="78">
      <x:c r="A78" s="26" t="str">
        <x:v>Al Khaleej Palace Hotel</x:v>
      </x:c>
      <x:c r="B78" s="26" t="str">
        <x:v>Hotel / Resort</x:v>
      </x:c>
      <x:c r="C78" s="26" t="str">
        <x:v>Dubai</x:v>
      </x:c>
      <x:c r="D78" s="26" t="str">
        <x:v>Maktoum Road</x:v>
      </x:c>
      <x:c r="E78" s="26" t="str">
        <x:v>+97142231000</x:v>
      </x:c>
      <x:c r="F78" s="26" t="str"/>
      <x:c r="G78" s="26" t="str">
        <x:v>http://www.alkhaleejhotels.com</x:v>
      </x:c>
      <x:c r="H78" s="26" t="str">
        <x:v>https://dcciinfo.com/uae/dubai/hotel/7460</x:v>
      </x:c>
      <x:c r="I78" s="26" t="n">
        <x:f>IF(E78&lt;&gt;"",35,0)+IF(F78&lt;&gt;"",25,0)+IF(G78&lt;&gt;"",20,0)+IF(D78&lt;&gt;"",10,0)+10</x:f>
        <x:v>75</x:v>
      </x:c>
      <x:c r="J78" s="26" t="str">
        <x:f>IF(I78&gt;=75,"Hot",IF(I78&gt;=50,"Warm","Cold"))</x:f>
        <x:v>Hot</x:v>
      </x:c>
      <x:c r="K78" s="26" t="str">
        <x:f>IF(B78="Travel &amp; Tourism","Social Media + Reels + Lead Generation",IF(B78="Hotel / Resort","Social Media + Reels + Ads",IF(B78="Healthcare / Clinic","Social Media + Branding + Lead Generation","Social Media + Reels + Lead Generation + Website")))</x:f>
        <x:v>Social Media + Reels + Ads</x:v>
      </x:c>
      <x:c r="L78" s="26" t="str">
        <x:v>Not Contacted</x:v>
      </x:c>
      <x:c r="M78" s="26" t="str">
        <x:v>Public business listing; verify before outreach.</x:v>
      </x:c>
    </x:row>
    <x:row r="79">
      <x:c r="A79" s="26" t="str">
        <x:v>Al Khayam Hotel</x:v>
      </x:c>
      <x:c r="B79" s="26" t="str">
        <x:v>Hotel / Resort</x:v>
      </x:c>
      <x:c r="C79" s="26" t="str">
        <x:v>Dubai</x:v>
      </x:c>
      <x:c r="D79" s="26" t="str">
        <x:v>Deira</x:v>
      </x:c>
      <x:c r="E79" s="26" t="str">
        <x:v>+97142264211</x:v>
      </x:c>
      <x:c r="F79" s="26" t="str"/>
      <x:c r="G79" s="26" t="str"/>
      <x:c r="H79" s="26" t="str">
        <x:v>https://dcciinfo.com/uae/dubai/hotel/7460</x:v>
      </x:c>
      <x:c r="I79" s="26" t="n">
        <x:f>IF(E79&lt;&gt;"",35,0)+IF(F79&lt;&gt;"",25,0)+IF(G79&lt;&gt;"",20,0)+IF(D79&lt;&gt;"",10,0)+10</x:f>
        <x:v>55</x:v>
      </x:c>
      <x:c r="J79" s="26" t="str">
        <x:f>IF(I79&gt;=75,"Hot",IF(I79&gt;=50,"Warm","Cold"))</x:f>
        <x:v>Warm</x:v>
      </x:c>
      <x:c r="K79" s="26" t="str">
        <x:f>IF(B79="Travel &amp; Tourism","Social Media + Reels + Lead Generation",IF(B79="Hotel / Resort","Social Media + Reels + Ads",IF(B79="Healthcare / Clinic","Social Media + Branding + Lead Generation","Social Media + Reels + Lead Generation + Website")))</x:f>
        <x:v>Social Media + Reels + Ads</x:v>
      </x:c>
      <x:c r="L79" s="26" t="str">
        <x:v>Not Contacted</x:v>
      </x:c>
      <x:c r="M79" s="26" t="str">
        <x:v>Public business listing; verify before outreach.</x:v>
      </x:c>
    </x:row>
    <x:row r="80">
      <x:c r="A80" s="26" t="str">
        <x:v>AL KHOORY INN HOTEL L.L.C</x:v>
      </x:c>
      <x:c r="B80" s="26" t="str">
        <x:v>Hotel / Resort</x:v>
      </x:c>
      <x:c r="C80" s="26" t="str">
        <x:v>Dubai</x:v>
      </x:c>
      <x:c r="D80" s="26" t="str"/>
      <x:c r="E80" s="26" t="str">
        <x:v>+97143146146</x:v>
      </x:c>
      <x:c r="F80" s="26" t="str"/>
      <x:c r="G80" s="26" t="str"/>
      <x:c r="H80" s="26" t="str">
        <x:v>https://dcciinfo.com/uae/dubai/hotel/7460</x:v>
      </x:c>
      <x:c r="I80" s="26" t="n">
        <x:f>IF(E80&lt;&gt;"",35,0)+IF(F80&lt;&gt;"",25,0)+IF(G80&lt;&gt;"",20,0)+IF(D80&lt;&gt;"",10,0)+10</x:f>
        <x:v>45</x:v>
      </x:c>
      <x:c r="J80" s="26" t="str">
        <x:f>IF(I80&gt;=75,"Hot",IF(I80&gt;=50,"Warm","Cold"))</x:f>
        <x:v>Cold</x:v>
      </x:c>
      <x:c r="K80" s="26" t="str">
        <x:f>IF(B80="Travel &amp; Tourism","Social Media + Reels + Lead Generation",IF(B80="Hotel / Resort","Social Media + Reels + Ads",IF(B80="Healthcare / Clinic","Social Media + Branding + Lead Generation","Social Media + Reels + Lead Generation + Website")))</x:f>
        <x:v>Social Media + Reels + Ads</x:v>
      </x:c>
      <x:c r="L80" s="26" t="str">
        <x:v>Not Contacted</x:v>
      </x:c>
      <x:c r="M80" s="26" t="str">
        <x:v>Public business listing; verify before outreach.</x:v>
      </x:c>
    </x:row>
    <x:row r="81">
      <x:c r="A81" s="26" t="str">
        <x:v>AL MAHA, A LUXURY COLLECTION DESERT RESORT &amp; SPA - DUBAI</x:v>
      </x:c>
      <x:c r="B81" s="26" t="str">
        <x:v>Hotel / Resort</x:v>
      </x:c>
      <x:c r="C81" s="26" t="str">
        <x:v>Dubai</x:v>
      </x:c>
      <x:c r="D81" s="26" t="str"/>
      <x:c r="E81" s="26" t="str">
        <x:v>+97148329900</x:v>
      </x:c>
      <x:c r="F81" s="26" t="str"/>
      <x:c r="G81" s="26" t="str">
        <x:v>http://www.al-maha.com</x:v>
      </x:c>
      <x:c r="H81" s="26" t="str">
        <x:v>https://dcciinfo.com/uae/dubai/hotel/7460</x:v>
      </x:c>
      <x:c r="I81" s="26" t="n">
        <x:f>IF(E81&lt;&gt;"",35,0)+IF(F81&lt;&gt;"",25,0)+IF(G81&lt;&gt;"",20,0)+IF(D81&lt;&gt;"",10,0)+10</x:f>
        <x:v>65</x:v>
      </x:c>
      <x:c r="J81" s="26" t="str">
        <x:f>IF(I81&gt;=75,"Hot",IF(I81&gt;=50,"Warm","Cold"))</x:f>
        <x:v>Warm</x:v>
      </x:c>
      <x:c r="K81" s="26" t="str">
        <x:f>IF(B81="Travel &amp; Tourism","Social Media + Reels + Lead Generation",IF(B81="Hotel / Resort","Social Media + Reels + Ads",IF(B81="Healthcare / Clinic","Social Media + Branding + Lead Generation","Social Media + Reels + Lead Generation + Website")))</x:f>
        <x:v>Social Media + Reels + Ads</x:v>
      </x:c>
      <x:c r="L81" s="26" t="str">
        <x:v>Not Contacted</x:v>
      </x:c>
      <x:c r="M81" s="26" t="str">
        <x:v>Public business listing; verify before outreach.</x:v>
      </x:c>
    </x:row>
    <x:row r="82">
      <x:c r="A82" s="26" t="str">
        <x:v>Aaron Real Estate</x:v>
      </x:c>
      <x:c r="B82" s="26" t="str">
        <x:v>Real Estate</x:v>
      </x:c>
      <x:c r="C82" s="26" t="str">
        <x:v>Dubai</x:v>
      </x:c>
      <x:c r="D82" s="26" t="str">
        <x:v>Satwa</x:v>
      </x:c>
      <x:c r="E82" s="26" t="str">
        <x:v>+97143443622</x:v>
      </x:c>
      <x:c r="F82" s="26" t="str"/>
      <x:c r="G82" s="26" t="str"/>
      <x:c r="H82" s="26" t="str">
        <x:v>https://dcciinfo.com/uae/dubai/real-estate-agents/12974</x:v>
      </x:c>
      <x:c r="I82" s="26" t="n">
        <x:f>IF(E82&lt;&gt;"",35,0)+IF(F82&lt;&gt;"",25,0)+IF(G82&lt;&gt;"",20,0)+IF(D82&lt;&gt;"",10,0)+10</x:f>
        <x:v>55</x:v>
      </x:c>
      <x:c r="J82" s="26" t="str">
        <x:f>IF(I82&gt;=75,"Hot",IF(I82&gt;=50,"Warm","Cold"))</x:f>
        <x:v>Warm</x:v>
      </x:c>
      <x:c r="K82" s="26" t="str">
        <x:f>IF(B82="Travel &amp; Tourism","Social Media + Reels + Lead Generation",IF(B82="Hotel / Resort","Social Media + Reels + Ads",IF(B82="Healthcare / Clinic","Social Media + Branding + Lead Generation","Social Media + Reels + Lead Generation + Website")))</x:f>
        <x:v>Social Media + Reels + Lead Generation + Website</x:v>
      </x:c>
      <x:c r="L82" s="26" t="str">
        <x:v>Not Contacted</x:v>
      </x:c>
      <x:c r="M82" s="26" t="str">
        <x:v>Public business listing; verify before outreach.</x:v>
      </x:c>
    </x:row>
    <x:row r="83">
      <x:c r="A83" s="26" t="str">
        <x:v>Abdul Rahim Al Zarooni Real Estate</x:v>
      </x:c>
      <x:c r="B83" s="26" t="str">
        <x:v>Real Estate</x:v>
      </x:c>
      <x:c r="C83" s="26" t="str">
        <x:v>Dubai</x:v>
      </x:c>
      <x:c r="D83" s="26" t="str">
        <x:v>Garhoud</x:v>
      </x:c>
      <x:c r="E83" s="26" t="str">
        <x:v>+97142821414</x:v>
      </x:c>
      <x:c r="F83" s="26" t="str"/>
      <x:c r="G83" s="26" t="str"/>
      <x:c r="H83" s="26" t="str">
        <x:v>https://dcciinfo.com/uae/dubai/real-estate-agents/12974</x:v>
      </x:c>
      <x:c r="I83" s="26" t="n">
        <x:f>IF(E83&lt;&gt;"",35,0)+IF(F83&lt;&gt;"",25,0)+IF(G83&lt;&gt;"",20,0)+IF(D83&lt;&gt;"",10,0)+10</x:f>
        <x:v>55</x:v>
      </x:c>
      <x:c r="J83" s="26" t="str">
        <x:f>IF(I83&gt;=75,"Hot",IF(I83&gt;=50,"Warm","Cold"))</x:f>
        <x:v>Warm</x:v>
      </x:c>
      <x:c r="K83" s="26" t="str">
        <x:f>IF(B83="Travel &amp; Tourism","Social Media + Reels + Lead Generation",IF(B83="Hotel / Resort","Social Media + Reels + Ads",IF(B83="Healthcare / Clinic","Social Media + Branding + Lead Generation","Social Media + Reels + Lead Generation + Website")))</x:f>
        <x:v>Social Media + Reels + Lead Generation + Website</x:v>
      </x:c>
      <x:c r="L83" s="26" t="str">
        <x:v>Not Contacted</x:v>
      </x:c>
      <x:c r="M83" s="26" t="str">
        <x:v>Public business listing; verify before outreach.</x:v>
      </x:c>
    </x:row>
    <x:row r="84">
      <x:c r="A84" s="26" t="str">
        <x:v>Abdul Razzak Al Ansari Establishment</x:v>
      </x:c>
      <x:c r="B84" s="26" t="str">
        <x:v>Real Estate</x:v>
      </x:c>
      <x:c r="C84" s="26" t="str">
        <x:v>Dubai</x:v>
      </x:c>
      <x:c r="D84" s="26" t="str">
        <x:v>Deira</x:v>
      </x:c>
      <x:c r="E84" s="26" t="str">
        <x:v>+97142663616</x:v>
      </x:c>
      <x:c r="F84" s="26" t="str"/>
      <x:c r="G84" s="26" t="str"/>
      <x:c r="H84" s="26" t="str">
        <x:v>https://dcciinfo.com/uae/dubai/real-estate-agents/12974</x:v>
      </x:c>
      <x:c r="I84" s="26" t="n">
        <x:f>IF(E84&lt;&gt;"",35,0)+IF(F84&lt;&gt;"",25,0)+IF(G84&lt;&gt;"",20,0)+IF(D84&lt;&gt;"",10,0)+10</x:f>
        <x:v>55</x:v>
      </x:c>
      <x:c r="J84" s="26" t="str">
        <x:f>IF(I84&gt;=75,"Hot",IF(I84&gt;=50,"Warm","Cold"))</x:f>
        <x:v>Warm</x:v>
      </x:c>
      <x:c r="K84" s="26" t="str">
        <x:f>IF(B84="Travel &amp; Tourism","Social Media + Reels + Lead Generation",IF(B84="Hotel / Resort","Social Media + Reels + Ads",IF(B84="Healthcare / Clinic","Social Media + Branding + Lead Generation","Social Media + Reels + Lead Generation + Website")))</x:f>
        <x:v>Social Media + Reels + Lead Generation + Website</x:v>
      </x:c>
      <x:c r="L84" s="26" t="str">
        <x:v>Not Contacted</x:v>
      </x:c>
      <x:c r="M84" s="26" t="str">
        <x:v>Public business listing; verify before outreach.</x:v>
      </x:c>
    </x:row>
    <x:row r="85">
      <x:c r="A85" s="26" t="str">
        <x:v>Acico Gulf Real Estate L L C Dubai Branch</x:v>
      </x:c>
      <x:c r="B85" s="26" t="str">
        <x:v>Real Estate</x:v>
      </x:c>
      <x:c r="C85" s="26" t="str">
        <x:v>Dubai</x:v>
      </x:c>
      <x:c r="D85" s="26" t="str"/>
      <x:c r="E85" s="26" t="str">
        <x:v>+97142942245</x:v>
      </x:c>
      <x:c r="F85" s="26" t="str"/>
      <x:c r="G85" s="26" t="str"/>
      <x:c r="H85" s="26" t="str">
        <x:v>https://dcciinfo.com/uae/dubai/real-estate-agents/12974</x:v>
      </x:c>
      <x:c r="I85" s="26" t="n">
        <x:f>IF(E85&lt;&gt;"",35,0)+IF(F85&lt;&gt;"",25,0)+IF(G85&lt;&gt;"",20,0)+IF(D85&lt;&gt;"",10,0)+10</x:f>
        <x:v>45</x:v>
      </x:c>
      <x:c r="J85" s="26" t="str">
        <x:f>IF(I85&gt;=75,"Hot",IF(I85&gt;=50,"Warm","Cold"))</x:f>
        <x:v>Cold</x:v>
      </x:c>
      <x:c r="K85" s="26" t="str">
        <x:f>IF(B85="Travel &amp; Tourism","Social Media + Reels + Lead Generation",IF(B85="Hotel / Resort","Social Media + Reels + Ads",IF(B85="Healthcare / Clinic","Social Media + Branding + Lead Generation","Social Media + Reels + Lead Generation + Website")))</x:f>
        <x:v>Social Media + Reels + Lead Generation + Website</x:v>
      </x:c>
      <x:c r="L85" s="26" t="str">
        <x:v>Not Contacted</x:v>
      </x:c>
      <x:c r="M85" s="26" t="str">
        <x:v>Public business listing; verify before outreach.</x:v>
      </x:c>
    </x:row>
    <x:row r="86">
      <x:c r="A86" s="26" t="str">
        <x:v>Action Real Estate</x:v>
      </x:c>
      <x:c r="B86" s="26" t="str">
        <x:v>Real Estate</x:v>
      </x:c>
      <x:c r="C86" s="26" t="str">
        <x:v>Dubai</x:v>
      </x:c>
      <x:c r="D86" s="26" t="str">
        <x:v>Bur Dubai</x:v>
      </x:c>
      <x:c r="E86" s="26" t="str">
        <x:v>+97143353334</x:v>
      </x:c>
      <x:c r="F86" s="26" t="str"/>
      <x:c r="G86" s="26" t="str"/>
      <x:c r="H86" s="26" t="str">
        <x:v>https://dcciinfo.com/uae/dubai/real-estate-agents/12974</x:v>
      </x:c>
      <x:c r="I86" s="26" t="n">
        <x:f>IF(E86&lt;&gt;"",35,0)+IF(F86&lt;&gt;"",25,0)+IF(G86&lt;&gt;"",20,0)+IF(D86&lt;&gt;"",10,0)+10</x:f>
        <x:v>55</x:v>
      </x:c>
      <x:c r="J86" s="26" t="str">
        <x:f>IF(I86&gt;=75,"Hot",IF(I86&gt;=50,"Warm","Cold"))</x:f>
        <x:v>Warm</x:v>
      </x:c>
      <x:c r="K86" s="26" t="str">
        <x:f>IF(B86="Travel &amp; Tourism","Social Media + Reels + Lead Generation",IF(B86="Hotel / Resort","Social Media + Reels + Ads",IF(B86="Healthcare / Clinic","Social Media + Branding + Lead Generation","Social Media + Reels + Lead Generation + Website")))</x:f>
        <x:v>Social Media + Reels + Lead Generation + Website</x:v>
      </x:c>
      <x:c r="L86" s="26" t="str">
        <x:v>Not Contacted</x:v>
      </x:c>
      <x:c r="M86" s="26" t="str">
        <x:v>Public business listing; verify before outreach.</x:v>
      </x:c>
    </x:row>
    <x:row r="87">
      <x:c r="A87" s="26" t="str">
        <x:v>Al Fajer Properties</x:v>
      </x:c>
      <x:c r="B87" s="26" t="str">
        <x:v>Real Estate</x:v>
      </x:c>
      <x:c r="C87" s="26" t="str">
        <x:v>Dubai</x:v>
      </x:c>
      <x:c r="D87" s="26" t="str"/>
      <x:c r="E87" s="26" t="str">
        <x:v>+97144542633</x:v>
      </x:c>
      <x:c r="F87" s="26" t="str"/>
      <x:c r="G87" s="26" t="str">
        <x:v>http://www.alfajerproperties.com</x:v>
      </x:c>
      <x:c r="H87" s="26" t="str">
        <x:v>https://dcciinfo.com/uae/dubai/real-estate-agents/12974</x:v>
      </x:c>
      <x:c r="I87" s="26" t="n">
        <x:f>IF(E87&lt;&gt;"",35,0)+IF(F87&lt;&gt;"",25,0)+IF(G87&lt;&gt;"",20,0)+IF(D87&lt;&gt;"",10,0)+10</x:f>
        <x:v>65</x:v>
      </x:c>
      <x:c r="J87" s="26" t="str">
        <x:f>IF(I87&gt;=75,"Hot",IF(I87&gt;=50,"Warm","Cold"))</x:f>
        <x:v>Warm</x:v>
      </x:c>
      <x:c r="K87" s="26" t="str">
        <x:f>IF(B87="Travel &amp; Tourism","Social Media + Reels + Lead Generation",IF(B87="Hotel / Resort","Social Media + Reels + Ads",IF(B87="Healthcare / Clinic","Social Media + Branding + Lead Generation","Social Media + Reels + Lead Generation + Website")))</x:f>
        <x:v>Social Media + Reels + Lead Generation + Website</x:v>
      </x:c>
      <x:c r="L87" s="26" t="str">
        <x:v>Not Contacted</x:v>
      </x:c>
      <x:c r="M87" s="26" t="str">
        <x:v>Public business listing; verify before outreach.</x:v>
      </x:c>
    </x:row>
    <x:row r="88">
      <x:c r="A88" s="26" t="str">
        <x:v>Al Fara'a Properties</x:v>
      </x:c>
      <x:c r="B88" s="26" t="str">
        <x:v>Real Estate</x:v>
      </x:c>
      <x:c r="C88" s="26" t="str">
        <x:v>Dubai</x:v>
      </x:c>
      <x:c r="D88" s="26" t="str">
        <x:v>Bur Dubai</x:v>
      </x:c>
      <x:c r="E88" s="26" t="str">
        <x:v>+971557002020</x:v>
      </x:c>
      <x:c r="F88" s="26" t="str"/>
      <x:c r="G88" s="26" t="str">
        <x:v>http://www.legrandchateau.com</x:v>
      </x:c>
      <x:c r="H88" s="26" t="str">
        <x:v>https://dcciinfo.com/uae/dubai/real-estate-agents/12974</x:v>
      </x:c>
      <x:c r="I88" s="26" t="n">
        <x:f>IF(E88&lt;&gt;"",35,0)+IF(F88&lt;&gt;"",25,0)+IF(G88&lt;&gt;"",20,0)+IF(D88&lt;&gt;"",10,0)+10</x:f>
        <x:v>75</x:v>
      </x:c>
      <x:c r="J88" s="26" t="str">
        <x:f>IF(I88&gt;=75,"Hot",IF(I88&gt;=50,"Warm","Cold"))</x:f>
        <x:v>Hot</x:v>
      </x:c>
      <x:c r="K88" s="26" t="str">
        <x:f>IF(B88="Travel &amp; Tourism","Social Media + Reels + Lead Generation",IF(B88="Hotel / Resort","Social Media + Reels + Ads",IF(B88="Healthcare / Clinic","Social Media + Branding + Lead Generation","Social Media + Reels + Lead Generation + Website")))</x:f>
        <x:v>Social Media + Reels + Lead Generation + Website</x:v>
      </x:c>
      <x:c r="L88" s="26" t="str">
        <x:v>Not Contacted</x:v>
      </x:c>
      <x:c r="M88" s="26" t="str">
        <x:v>Public business listing; verify before outreach.</x:v>
      </x:c>
    </x:row>
    <x:row r="89">
      <x:c r="A89" s="26" t="str">
        <x:v>Al Fattan Properties LLC</x:v>
      </x:c>
      <x:c r="B89" s="26" t="str">
        <x:v>Real Estate</x:v>
      </x:c>
      <x:c r="C89" s="26" t="str">
        <x:v>Dubai</x:v>
      </x:c>
      <x:c r="D89" s="26" t="str">
        <x:v>Garhoud</x:v>
      </x:c>
      <x:c r="E89" s="26" t="str">
        <x:v>+97142829999</x:v>
      </x:c>
      <x:c r="F89" s="26" t="str"/>
      <x:c r="G89" s="26" t="str">
        <x:v>http://www.alfattan.com</x:v>
      </x:c>
      <x:c r="H89" s="26" t="str">
        <x:v>https://dcciinfo.com/uae/dubai/real-estate-agents/12974</x:v>
      </x:c>
      <x:c r="I89" s="26" t="n">
        <x:f>IF(E89&lt;&gt;"",35,0)+IF(F89&lt;&gt;"",25,0)+IF(G89&lt;&gt;"",20,0)+IF(D89&lt;&gt;"",10,0)+10</x:f>
        <x:v>75</x:v>
      </x:c>
      <x:c r="J89" s="26" t="str">
        <x:f>IF(I89&gt;=75,"Hot",IF(I89&gt;=50,"Warm","Cold"))</x:f>
        <x:v>Hot</x:v>
      </x:c>
      <x:c r="K89" s="26" t="str">
        <x:f>IF(B89="Travel &amp; Tourism","Social Media + Reels + Lead Generation",IF(B89="Hotel / Resort","Social Media + Reels + Ads",IF(B89="Healthcare / Clinic","Social Media + Branding + Lead Generation","Social Media + Reels + Lead Generation + Website")))</x:f>
        <x:v>Social Media + Reels + Lead Generation + Website</x:v>
      </x:c>
      <x:c r="L89" s="26" t="str">
        <x:v>Not Contacted</x:v>
      </x:c>
      <x:c r="M89" s="26" t="str">
        <x:v>Public business listing; verify before outreach.</x:v>
      </x:c>
    </x:row>
    <x:row r="90">
      <x:c r="A90" s="26" t="str">
        <x:v>Al Futtaim Group Real Estate (L.L.C)</x:v>
      </x:c>
      <x:c r="B90" s="26" t="str">
        <x:v>Real Estate</x:v>
      </x:c>
      <x:c r="C90" s="26" t="str">
        <x:v>Dubai</x:v>
      </x:c>
      <x:c r="D90" s="26" t="str">
        <x:v>Deira</x:v>
      </x:c>
      <x:c r="E90" s="26" t="str">
        <x:v>+97142177777</x:v>
      </x:c>
      <x:c r="F90" s="26" t="str"/>
      <x:c r="G90" s="26" t="str">
        <x:v>http://www.al-futtaim.com</x:v>
      </x:c>
      <x:c r="H90" s="26" t="str">
        <x:v>https://dcciinfo.com/uae/dubai/real-estate-agents/12974</x:v>
      </x:c>
      <x:c r="I90" s="26" t="n">
        <x:f>IF(E90&lt;&gt;"",35,0)+IF(F90&lt;&gt;"",25,0)+IF(G90&lt;&gt;"",20,0)+IF(D90&lt;&gt;"",10,0)+10</x:f>
        <x:v>75</x:v>
      </x:c>
      <x:c r="J90" s="26" t="str">
        <x:f>IF(I90&gt;=75,"Hot",IF(I90&gt;=50,"Warm","Cold"))</x:f>
        <x:v>Hot</x:v>
      </x:c>
      <x:c r="K90" s="26" t="str">
        <x:f>IF(B90="Travel &amp; Tourism","Social Media + Reels + Lead Generation",IF(B90="Hotel / Resort","Social Media + Reels + Ads",IF(B90="Healthcare / Clinic","Social Media + Branding + Lead Generation","Social Media + Reels + Lead Generation + Website")))</x:f>
        <x:v>Social Media + Reels + Lead Generation + Website</x:v>
      </x:c>
      <x:c r="L90" s="26" t="str">
        <x:v>Not Contacted</x:v>
      </x:c>
      <x:c r="M90" s="26" t="str">
        <x:v>Public business listing; verify before outreach.</x:v>
      </x:c>
    </x:row>
    <x:row r="91">
      <x:c r="A91" s="26" t="str">
        <x:v>Al Futtaim Private Company (L.L.C)</x:v>
      </x:c>
      <x:c r="B91" s="26" t="str">
        <x:v>Real Estate</x:v>
      </x:c>
      <x:c r="C91" s="26" t="str">
        <x:v>Dubai</x:v>
      </x:c>
      <x:c r="D91" s="26" t="str"/>
      <x:c r="E91" s="26" t="str">
        <x:v>+97142177777</x:v>
      </x:c>
      <x:c r="F91" s="26" t="str"/>
      <x:c r="G91" s="26" t="str">
        <x:v>http://www.al-futtaim.com</x:v>
      </x:c>
      <x:c r="H91" s="26" t="str">
        <x:v>https://dcciinfo.com/uae/dubai/real-estate-agents/12974</x:v>
      </x:c>
      <x:c r="I91" s="26" t="n">
        <x:f>IF(E91&lt;&gt;"",35,0)+IF(F91&lt;&gt;"",25,0)+IF(G91&lt;&gt;"",20,0)+IF(D91&lt;&gt;"",10,0)+10</x:f>
        <x:v>65</x:v>
      </x:c>
      <x:c r="J91" s="26" t="str">
        <x:f>IF(I91&gt;=75,"Hot",IF(I91&gt;=50,"Warm","Cold"))</x:f>
        <x:v>Warm</x:v>
      </x:c>
      <x:c r="K91" s="26" t="str">
        <x:f>IF(B91="Travel &amp; Tourism","Social Media + Reels + Lead Generation",IF(B91="Hotel / Resort","Social Media + Reels + Ads",IF(B91="Healthcare / Clinic","Social Media + Branding + Lead Generation","Social Media + Reels + Lead Generation + Website")))</x:f>
        <x:v>Social Media + Reels + Lead Generation + Website</x:v>
      </x:c>
      <x:c r="L91" s="26" t="str">
        <x:v>Not Contacted</x:v>
      </x:c>
      <x:c r="M91" s="26" t="str">
        <x:v>Public business listing; verify before outreach.</x:v>
      </x:c>
    </x:row>
    <x:row r="92">
      <x:c r="A92" s="26" t="str">
        <x:v>Al Futtaim Real Estate Company (L L C)</x:v>
      </x:c>
      <x:c r="B92" s="26" t="str">
        <x:v>Real Estate</x:v>
      </x:c>
      <x:c r="C92" s="26" t="str">
        <x:v>Dubai</x:v>
      </x:c>
      <x:c r="D92" s="26" t="str"/>
      <x:c r="E92" s="26" t="str">
        <x:v>+97147063333</x:v>
      </x:c>
      <x:c r="F92" s="26" t="str"/>
      <x:c r="G92" s="26" t="str">
        <x:v>http://www.al-futtaim.com</x:v>
      </x:c>
      <x:c r="H92" s="26" t="str">
        <x:v>https://dcciinfo.com/uae/dubai/real-estate-agents/12974</x:v>
      </x:c>
      <x:c r="I92" s="26" t="n">
        <x:f>IF(E92&lt;&gt;"",35,0)+IF(F92&lt;&gt;"",25,0)+IF(G92&lt;&gt;"",20,0)+IF(D92&lt;&gt;"",10,0)+10</x:f>
        <x:v>65</x:v>
      </x:c>
      <x:c r="J92" s="26" t="str">
        <x:f>IF(I92&gt;=75,"Hot",IF(I92&gt;=50,"Warm","Cold"))</x:f>
        <x:v>Warm</x:v>
      </x:c>
      <x:c r="K92" s="26" t="str">
        <x:f>IF(B92="Travel &amp; Tourism","Social Media + Reels + Lead Generation",IF(B92="Hotel / Resort","Social Media + Reels + Ads",IF(B92="Healthcare / Clinic","Social Media + Branding + Lead Generation","Social Media + Reels + Lead Generation + Website")))</x:f>
        <x:v>Social Media + Reels + Lead Generation + Website</x:v>
      </x:c>
      <x:c r="L92" s="26" t="str">
        <x:v>Not Contacted</x:v>
      </x:c>
      <x:c r="M92" s="26" t="str">
        <x:v>Public business listing; verify before outreach.</x:v>
      </x:c>
    </x:row>
    <x:row r="93">
      <x:c r="A93" s="26" t="str">
        <x:v>Al Futtaim Real Estate Enterprises (L.L.C)</x:v>
      </x:c>
      <x:c r="B93" s="26" t="str">
        <x:v>Real Estate</x:v>
      </x:c>
      <x:c r="C93" s="26" t="str">
        <x:v>Dubai</x:v>
      </x:c>
      <x:c r="D93" s="26" t="str">
        <x:v>Airport Road</x:v>
      </x:c>
      <x:c r="E93" s="26" t="str">
        <x:v>+97142119111</x:v>
      </x:c>
      <x:c r="F93" s="26" t="str"/>
      <x:c r="G93" s="26" t="str">
        <x:v>http://www.al-futtaim.com</x:v>
      </x:c>
      <x:c r="H93" s="26" t="str">
        <x:v>https://dcciinfo.com/uae/dubai/real-estate-agents/12974</x:v>
      </x:c>
      <x:c r="I93" s="26" t="n">
        <x:f>IF(E93&lt;&gt;"",35,0)+IF(F93&lt;&gt;"",25,0)+IF(G93&lt;&gt;"",20,0)+IF(D93&lt;&gt;"",10,0)+10</x:f>
        <x:v>75</x:v>
      </x:c>
      <x:c r="J93" s="26" t="str">
        <x:f>IF(I93&gt;=75,"Hot",IF(I93&gt;=50,"Warm","Cold"))</x:f>
        <x:v>Hot</x:v>
      </x:c>
      <x:c r="K93" s="26" t="str">
        <x:f>IF(B93="Travel &amp; Tourism","Social Media + Reels + Lead Generation",IF(B93="Hotel / Resort","Social Media + Reels + Ads",IF(B93="Healthcare / Clinic","Social Media + Branding + Lead Generation","Social Media + Reels + Lead Generation + Website")))</x:f>
        <x:v>Social Media + Reels + Lead Generation + Website</x:v>
      </x:c>
      <x:c r="L93" s="26" t="str">
        <x:v>Not Contacted</x:v>
      </x:c>
      <x:c r="M93" s="26" t="str">
        <x:v>Public business listing; verify before outreach.</x:v>
      </x:c>
    </x:row>
    <x:row r="94">
      <x:c r="A94" s="26" t="str">
        <x:v>Al Futtaim Trading Company (L L C)</x:v>
      </x:c>
      <x:c r="B94" s="26" t="str">
        <x:v>Real Estate</x:v>
      </x:c>
      <x:c r="C94" s="26" t="str">
        <x:v>Dubai</x:v>
      </x:c>
      <x:c r="D94" s="26" t="str">
        <x:v>Sheikh Zayed Road</x:v>
      </x:c>
      <x:c r="E94" s="26" t="str">
        <x:v>+97147063333</x:v>
      </x:c>
      <x:c r="F94" s="26" t="str"/>
      <x:c r="G94" s="26" t="str">
        <x:v>http://alfuttaim.com</x:v>
      </x:c>
      <x:c r="H94" s="26" t="str">
        <x:v>https://dcciinfo.com/uae/dubai/real-estate-agents/12974</x:v>
      </x:c>
      <x:c r="I94" s="26" t="n">
        <x:f>IF(E94&lt;&gt;"",35,0)+IF(F94&lt;&gt;"",25,0)+IF(G94&lt;&gt;"",20,0)+IF(D94&lt;&gt;"",10,0)+10</x:f>
        <x:v>75</x:v>
      </x:c>
      <x:c r="J94" s="26" t="str">
        <x:f>IF(I94&gt;=75,"Hot",IF(I94&gt;=50,"Warm","Cold"))</x:f>
        <x:v>Hot</x:v>
      </x:c>
      <x:c r="K94" s="26" t="str">
        <x:f>IF(B94="Travel &amp; Tourism","Social Media + Reels + Lead Generation",IF(B94="Hotel / Resort","Social Media + Reels + Ads",IF(B94="Healthcare / Clinic","Social Media + Branding + Lead Generation","Social Media + Reels + Lead Generation + Website")))</x:f>
        <x:v>Social Media + Reels + Lead Generation + Website</x:v>
      </x:c>
      <x:c r="L94" s="26" t="str">
        <x:v>Not Contacted</x:v>
      </x:c>
      <x:c r="M94" s="26" t="str">
        <x:v>Public business listing; verify before outreach.</x:v>
      </x:c>
    </x:row>
    <x:row r="95">
      <x:c r="A95" s="26" t="str">
        <x:v>Al Hathboor Group (L.L.C)</x:v>
      </x:c>
      <x:c r="B95" s="26" t="str">
        <x:v>Real Estate</x:v>
      </x:c>
      <x:c r="C95" s="26" t="str">
        <x:v>Dubai</x:v>
      </x:c>
      <x:c r="D95" s="26" t="str">
        <x:v>Airport Road</x:v>
      </x:c>
      <x:c r="E95" s="26" t="str">
        <x:v>+97142821124</x:v>
      </x:c>
      <x:c r="F95" s="26" t="str"/>
      <x:c r="G95" s="26" t="str">
        <x:v>http://www.alhathboor.com</x:v>
      </x:c>
      <x:c r="H95" s="26" t="str">
        <x:v>https://dcciinfo.com/uae/dubai/real-estate-agents/12974</x:v>
      </x:c>
      <x:c r="I95" s="26" t="n">
        <x:f>IF(E95&lt;&gt;"",35,0)+IF(F95&lt;&gt;"",25,0)+IF(G95&lt;&gt;"",20,0)+IF(D95&lt;&gt;"",10,0)+10</x:f>
        <x:v>75</x:v>
      </x:c>
      <x:c r="J95" s="26" t="str">
        <x:f>IF(I95&gt;=75,"Hot",IF(I95&gt;=50,"Warm","Cold"))</x:f>
        <x:v>Hot</x:v>
      </x:c>
      <x:c r="K95" s="26" t="str">
        <x:f>IF(B95="Travel &amp; Tourism","Social Media + Reels + Lead Generation",IF(B95="Hotel / Resort","Social Media + Reels + Ads",IF(B95="Healthcare / Clinic","Social Media + Branding + Lead Generation","Social Media + Reels + Lead Generation + Website")))</x:f>
        <x:v>Social Media + Reels + Lead Generation + Website</x:v>
      </x:c>
      <x:c r="L95" s="26" t="str">
        <x:v>Not Contacted</x:v>
      </x:c>
      <x:c r="M95" s="26" t="str">
        <x:v>Public business listing; verify before outreach.</x:v>
      </x:c>
    </x:row>
    <x:row r="96">
      <x:c r="A96" s="26" t="str">
        <x:v>Al Huraiz Real Estate (L.L.C.)</x:v>
      </x:c>
      <x:c r="B96" s="26" t="str">
        <x:v>Real Estate</x:v>
      </x:c>
      <x:c r="C96" s="26" t="str">
        <x:v>Dubai</x:v>
      </x:c>
      <x:c r="D96" s="26" t="str">
        <x:v>Bur Dubai</x:v>
      </x:c>
      <x:c r="E96" s="26" t="str">
        <x:v>+97143525460</x:v>
      </x:c>
      <x:c r="F96" s="26" t="str"/>
      <x:c r="G96" s="26" t="str"/>
      <x:c r="H96" s="26" t="str">
        <x:v>https://dcciinfo.com/uae/dubai/real-estate-agents/12974</x:v>
      </x:c>
      <x:c r="I96" s="26" t="n">
        <x:f>IF(E96&lt;&gt;"",35,0)+IF(F96&lt;&gt;"",25,0)+IF(G96&lt;&gt;"",20,0)+IF(D96&lt;&gt;"",10,0)+10</x:f>
        <x:v>55</x:v>
      </x:c>
      <x:c r="J96" s="26" t="str">
        <x:f>IF(I96&gt;=75,"Hot",IF(I96&gt;=50,"Warm","Cold"))</x:f>
        <x:v>Warm</x:v>
      </x:c>
      <x:c r="K96" s="26" t="str">
        <x:f>IF(B96="Travel &amp; Tourism","Social Media + Reels + Lead Generation",IF(B96="Hotel / Resort","Social Media + Reels + Ads",IF(B96="Healthcare / Clinic","Social Media + Branding + Lead Generation","Social Media + Reels + Lead Generation + Website")))</x:f>
        <x:v>Social Media + Reels + Lead Generation + Website</x:v>
      </x:c>
      <x:c r="L96" s="26" t="str">
        <x:v>Not Contacted</x:v>
      </x:c>
      <x:c r="M96" s="26" t="str">
        <x:v>Public business listing; verify before outreach.</x:v>
      </x:c>
    </x:row>
    <x:row r="97">
      <x:c r="A97" s="26" t="str">
        <x:v>Al Khaimah Real Estate</x:v>
      </x:c>
      <x:c r="B97" s="26" t="str">
        <x:v>Real Estate</x:v>
      </x:c>
      <x:c r="C97" s="26" t="str">
        <x:v>Dubai</x:v>
      </x:c>
      <x:c r="D97" s="26" t="str">
        <x:v>Port Saeed</x:v>
      </x:c>
      <x:c r="E97" s="26" t="str">
        <x:v>+97142955333</x:v>
      </x:c>
      <x:c r="F97" s="26" t="str"/>
      <x:c r="G97" s="26" t="str">
        <x:v>http://www.alkhaimah.com</x:v>
      </x:c>
      <x:c r="H97" s="26" t="str">
        <x:v>https://dcciinfo.com/uae/dubai/real-estate-agents/12974</x:v>
      </x:c>
      <x:c r="I97" s="26" t="n">
        <x:f>IF(E97&lt;&gt;"",35,0)+IF(F97&lt;&gt;"",25,0)+IF(G97&lt;&gt;"",20,0)+IF(D97&lt;&gt;"",10,0)+10</x:f>
        <x:v>75</x:v>
      </x:c>
      <x:c r="J97" s="26" t="str">
        <x:f>IF(I97&gt;=75,"Hot",IF(I97&gt;=50,"Warm","Cold"))</x:f>
        <x:v>Hot</x:v>
      </x:c>
      <x:c r="K97" s="26" t="str">
        <x:f>IF(B97="Travel &amp; Tourism","Social Media + Reels + Lead Generation",IF(B97="Hotel / Resort","Social Media + Reels + Ads",IF(B97="Healthcare / Clinic","Social Media + Branding + Lead Generation","Social Media + Reels + Lead Generation + Website")))</x:f>
        <x:v>Social Media + Reels + Lead Generation + Website</x:v>
      </x:c>
      <x:c r="L97" s="26" t="str">
        <x:v>Not Contacted</x:v>
      </x:c>
      <x:c r="M97" s="26" t="str">
        <x:v>Public business listing; verify before outreach.</x:v>
      </x:c>
    </x:row>
    <x:row r="98">
      <x:c r="A98" s="26" t="str">
        <x:v>Al Khuzami Real Estate</x:v>
      </x:c>
      <x:c r="B98" s="26" t="str">
        <x:v>Real Estate</x:v>
      </x:c>
      <x:c r="C98" s="26" t="str">
        <x:v>Dubai</x:v>
      </x:c>
      <x:c r="D98" s="26" t="str">
        <x:v>Bur Dubai</x:v>
      </x:c>
      <x:c r="E98" s="26" t="str">
        <x:v>+97143529414</x:v>
      </x:c>
      <x:c r="F98" s="26" t="str"/>
      <x:c r="G98" s="26" t="str"/>
      <x:c r="H98" s="26" t="str">
        <x:v>https://dcciinfo.com/uae/dubai/real-estate-agents/12974</x:v>
      </x:c>
      <x:c r="I98" s="26" t="n">
        <x:f>IF(E98&lt;&gt;"",35,0)+IF(F98&lt;&gt;"",25,0)+IF(G98&lt;&gt;"",20,0)+IF(D98&lt;&gt;"",10,0)+10</x:f>
        <x:v>55</x:v>
      </x:c>
      <x:c r="J98" s="26" t="str">
        <x:f>IF(I98&gt;=75,"Hot",IF(I98&gt;=50,"Warm","Cold"))</x:f>
        <x:v>Warm</x:v>
      </x:c>
      <x:c r="K98" s="26" t="str">
        <x:f>IF(B98="Travel &amp; Tourism","Social Media + Reels + Lead Generation",IF(B98="Hotel / Resort","Social Media + Reels + Ads",IF(B98="Healthcare / Clinic","Social Media + Branding + Lead Generation","Social Media + Reels + Lead Generation + Website")))</x:f>
        <x:v>Social Media + Reels + Lead Generation + Website</x:v>
      </x:c>
      <x:c r="L98" s="26" t="str">
        <x:v>Not Contacted</x:v>
      </x:c>
      <x:c r="M98" s="26" t="str">
        <x:v>Public business listing; verify before outreach.</x:v>
      </x:c>
    </x:row>
    <x:row r="99">
      <x:c r="A99" s="26" t="str">
        <x:v>Al Madar Group Wll</x:v>
      </x:c>
      <x:c r="B99" s="26" t="str">
        <x:v>Real Estate</x:v>
      </x:c>
      <x:c r="C99" s="26" t="str">
        <x:v>Dubai</x:v>
      </x:c>
      <x:c r="D99" s="26" t="str">
        <x:v>Jumeirah Lakes Tower</x:v>
      </x:c>
      <x:c r="E99" s="26" t="str">
        <x:v>+97144270100</x:v>
      </x:c>
      <x:c r="F99" s="26" t="str"/>
      <x:c r="G99" s="26" t="str">
        <x:v>http://www.almadar-group.com</x:v>
      </x:c>
      <x:c r="H99" s="26" t="str">
        <x:v>https://dcciinfo.com/uae/dubai/real-estate-agents/12974</x:v>
      </x:c>
      <x:c r="I99" s="26" t="n">
        <x:f>IF(E99&lt;&gt;"",35,0)+IF(F99&lt;&gt;"",25,0)+IF(G99&lt;&gt;"",20,0)+IF(D99&lt;&gt;"",10,0)+10</x:f>
        <x:v>75</x:v>
      </x:c>
      <x:c r="J99" s="26" t="str">
        <x:f>IF(I99&gt;=75,"Hot",IF(I99&gt;=50,"Warm","Cold"))</x:f>
        <x:v>Hot</x:v>
      </x:c>
      <x:c r="K99" s="26" t="str">
        <x:f>IF(B99="Travel &amp; Tourism","Social Media + Reels + Lead Generation",IF(B99="Hotel / Resort","Social Media + Reels + Ads",IF(B99="Healthcare / Clinic","Social Media + Branding + Lead Generation","Social Media + Reels + Lead Generation + Website")))</x:f>
        <x:v>Social Media + Reels + Lead Generation + Website</x:v>
      </x:c>
      <x:c r="L99" s="26" t="str">
        <x:v>Not Contacted</x:v>
      </x:c>
      <x:c r="M99" s="26" t="str">
        <x:v>Public business listing; verify before outreach.</x:v>
      </x:c>
    </x:row>
    <x:row r="100">
      <x:c r="A100" s="26" t="str">
        <x:v>Al Manaar Real Estate Est</x:v>
      </x:c>
      <x:c r="B100" s="26" t="str">
        <x:v>Real Estate</x:v>
      </x:c>
      <x:c r="C100" s="26" t="str">
        <x:v>Dubai</x:v>
      </x:c>
      <x:c r="D100" s="26" t="str"/>
      <x:c r="E100" s="26" t="str">
        <x:v>+97142694949</x:v>
      </x:c>
      <x:c r="F100" s="26" t="str"/>
      <x:c r="G100" s="26" t="str">
        <x:v>http://www.almanaarrealestate.com</x:v>
      </x:c>
      <x:c r="H100" s="26" t="str">
        <x:v>https://dcciinfo.com/uae/dubai/real-estate-agents/12974</x:v>
      </x:c>
      <x:c r="I100" s="26" t="n">
        <x:f>IF(E100&lt;&gt;"",35,0)+IF(F100&lt;&gt;"",25,0)+IF(G100&lt;&gt;"",20,0)+IF(D100&lt;&gt;"",10,0)+10</x:f>
        <x:v>65</x:v>
      </x:c>
      <x:c r="J100" s="26" t="str">
        <x:f>IF(I100&gt;=75,"Hot",IF(I100&gt;=50,"Warm","Cold"))</x:f>
        <x:v>Warm</x:v>
      </x:c>
      <x:c r="K100" s="26" t="str">
        <x:f>IF(B100="Travel &amp; Tourism","Social Media + Reels + Lead Generation",IF(B100="Hotel / Resort","Social Media + Reels + Ads",IF(B100="Healthcare / Clinic","Social Media + Branding + Lead Generation","Social Media + Reels + Lead Generation + Website")))</x:f>
        <x:v>Social Media + Reels + Lead Generation + Website</x:v>
      </x:c>
      <x:c r="L100" s="26" t="str">
        <x:v>Not Contacted</x:v>
      </x:c>
      <x:c r="M100" s="26" t="str">
        <x:v>Public business listing; verify before outreach.</x:v>
      </x:c>
    </x:row>
    <x:row r="101">
      <x:c r="A101" s="26" t="str">
        <x:v>Al Masarat Real Estate</x:v>
      </x:c>
      <x:c r="B101" s="26" t="str">
        <x:v>Real Estate</x:v>
      </x:c>
      <x:c r="C101" s="26" t="str">
        <x:v>Dubai</x:v>
      </x:c>
      <x:c r="D101" s="26" t="str">
        <x:v>Sheikh Zayed Road</x:v>
      </x:c>
      <x:c r="E101" s="26" t="str">
        <x:v>+97143438306</x:v>
      </x:c>
      <x:c r="F101" s="26" t="str"/>
      <x:c r="G101" s="26" t="str">
        <x:v>http://www.masarat.com.sa</x:v>
      </x:c>
      <x:c r="H101" s="26" t="str">
        <x:v>https://dcciinfo.com/uae/dubai/real-estate-agents/12974</x:v>
      </x:c>
      <x:c r="I101" s="26" t="n">
        <x:f>IF(E101&lt;&gt;"",35,0)+IF(F101&lt;&gt;"",25,0)+IF(G101&lt;&gt;"",20,0)+IF(D101&lt;&gt;"",10,0)+10</x:f>
        <x:v>75</x:v>
      </x:c>
      <x:c r="J101" s="26" t="str">
        <x:f>IF(I101&gt;=75,"Hot",IF(I101&gt;=50,"Warm","Cold"))</x:f>
        <x:v>Hot</x:v>
      </x:c>
      <x:c r="K101" s="26" t="str">
        <x:f>IF(B101="Travel &amp; Tourism","Social Media + Reels + Lead Generation",IF(B101="Hotel / Resort","Social Media + Reels + Ads",IF(B101="Healthcare / Clinic","Social Media + Branding + Lead Generation","Social Media + Reels + Lead Generation + Website")))</x:f>
        <x:v>Social Media + Reels + Lead Generation + Website</x:v>
      </x:c>
      <x:c r="L101" s="26" t="str">
        <x:v>Not Contacted</x:v>
      </x:c>
      <x:c r="M101" s="26" t="str">
        <x:v>Public business listing; verify before outreach.</x:v>
      </x:c>
    </x:row>
  </x:sheetData>
  <x:conditionalFormatting sqref="I2:I10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1">
    <x:dataValidation type="list" sqref="L2:L101">
      <x:formula1>"Not Contacted,Contacted,Interested,Follow-up,Meeting Booked,Won,Lost"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e26f2e6a6648a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8" hidden="0" customWidth="1"/>
    <x:col min="4" max="4" width="14" hidden="0" customWidth="1"/>
    <x:col min="5" max="5" width="62" hidden="0" customWidth="1"/>
  </x:cols>
  <x:sheetData>
    <x:row r="1">
      <x:c r="A1" s="38" t="str">
        <x:v>Segment</x:v>
      </x:c>
      <x:c r="B1" s="38" t="str">
        <x:v>Target</x:v>
      </x:c>
      <x:c r="C1" s="38" t="str">
        <x:v>Currently Sourced</x:v>
      </x:c>
      <x:c r="D1" s="38" t="str">
        <x:v>Remaining</x:v>
      </x:c>
      <x:c r="E1" s="38" t="str">
        <x:v>Recommended outreach angle</x:v>
      </x:c>
    </x:row>
    <x:row r="2">
      <x:c r="A2" s="26" t="str">
        <x:v>Travel &amp; Tourism</x:v>
      </x:c>
      <x:c r="B2" s="26" t="n">
        <x:v>250</x:v>
      </x:c>
      <x:c r="C2" s="26" t="n">
        <x:v>40</x:v>
      </x:c>
      <x:c r="D2" s="26" t="n">
        <x:v>210</x:v>
      </x:c>
      <x:c r="E2" s="26" t="str">
        <x:v>Reels, destination content, Meta ads, WhatsApp lead generation</x:v>
      </x:c>
    </x:row>
    <x:row r="3">
      <x:c r="A3" s="26" t="str">
        <x:v>Hotels &amp; Resorts</x:v>
      </x:c>
      <x:c r="B3" s="26" t="n">
        <x:v>250</x:v>
      </x:c>
      <x:c r="C3" s="26" t="n">
        <x:v>20</x:v>
      </x:c>
      <x:c r="D3" s="26" t="n">
        <x:v>230</x:v>
      </x:c>
      <x:c r="E3" s="26" t="str">
        <x:v>Reels, hotel content, offers, Meta/Google ads, booking funnel</x:v>
      </x:c>
    </x:row>
    <x:row r="4">
      <x:c r="A4" s="26" t="str">
        <x:v>Healthcare / Clinics</x:v>
      </x:c>
      <x:c r="B4" s="26" t="n">
        <x:v>200</x:v>
      </x:c>
      <x:c r="C4" s="26" t="n">
        <x:v>20</x:v>
      </x:c>
      <x:c r="D4" s="26" t="n">
        <x:v>180</x:v>
      </x:c>
      <x:c r="E4" s="26" t="str">
        <x:v>Doctor/clinic content, reputation, Meta ads, lead generation</x:v>
      </x:c>
    </x:row>
    <x:row r="5">
      <x:c r="A5" s="26" t="str">
        <x:v>Real Estate</x:v>
      </x:c>
      <x:c r="B5" s="26" t="n">
        <x:v>250</x:v>
      </x:c>
      <x:c r="C5" s="26" t="n">
        <x:v>20</x:v>
      </x:c>
      <x:c r="D5" s="26" t="n">
        <x:v>230</x:v>
      </x:c>
      <x:c r="E5" s="26" t="str">
        <x:v>Property reels, lead generation, landing pages, Meta ads</x:v>
      </x:c>
    </x:row>
    <x:row r="6">
      <x:c r="A6" s="26" t="str">
        <x:v>Developers / high-value property</x:v>
      </x:c>
      <x:c r="B6" s="26" t="n">
        <x:v>50</x:v>
      </x:c>
      <x:c r="C6" s="26" t="n">
        <x:v>0</x:v>
      </x:c>
      <x:c r="D6" s="26" t="n">
        <x:v>50</x:v>
      </x:c>
      <x:c r="E6" s="26" t="str">
        <x:v>Project launches, performance marketing, content + landing pages</x:v>
      </x:c>
    </x:row>
    <x:row r="7">
      <x:c r="A7" s="26" t="str">
        <x:v>TOTAL</x:v>
      </x:c>
      <x:c r="B7" s="26" t="n">
        <x:v>1000</x:v>
      </x:c>
      <x:c r="C7" s="26" t="n">
        <x:v>100</x:v>
      </x:c>
      <x:c r="D7" s="26" t="n">
        <x:v>900</x:v>
      </x:c>
      <x:c r="E7" s="26" t="str">
        <x:v>Scale with additional public-source research or a reputable enrichment provider</x:v>
      </x:c>
    </x:row>
  </x:sheetData>
  <x:pageMargins left="0.7" right="0.7" top="0.75" bottom="0.75" header="0.3" footer="0.3"/>
</x:worksheet>
</file>